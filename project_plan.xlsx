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📅 Gantt Chart" sheetId="2" state="visible" r:id="rId4"/>
    <sheet name="✅ Task Tracker" sheetId="3" state="visible" r:id="rId5"/>
    <sheet name="ℹ️ How To Us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<sst xmlns="http://schemas.openxmlformats.org/spreadsheetml/2006/main" count="356" uniqueCount="171">
  <si>
    <t xml:space="preserve">  PROJECT PORTFOLIO TRACKER</t>
  </si>
  <si>
    <t xml:space="preserve">  Last Updated: April 09, 2026   |   Portfolio: AI / GenAI Initiatives</t>
  </si>
  <si>
    <t xml:space="preserve">  PROJECT HEALTH SUMMARY</t>
  </si>
  <si>
    <t xml:space="preserve">PROJECT</t>
  </si>
  <si>
    <t xml:space="preserve">DESCRIPTION / OBJECTIVE</t>
  </si>
  <si>
    <t xml:space="preserve">STATUS</t>
  </si>
  <si>
    <t xml:space="preserve">KEY RISKS</t>
  </si>
  <si>
    <t xml:space="preserve">NEXT STEPS</t>
  </si>
  <si>
    <t xml:space="preserve">OWNER / DUE DATE</t>
  </si>
  <si>
    <t xml:space="preserve">Project 1 – [Name]</t>
  </si>
  <si>
    <t xml:space="preserve">Brief one-line description of the project objective and target outcome.</t>
  </si>
  <si>
    <t xml:space="preserve">🟢 On Track</t>
  </si>
  <si>
    <t xml:space="preserve">• Risk item 1
• Risk item 2</t>
  </si>
  <si>
    <t xml:space="preserve">• Next step 1
• Next step 2</t>
  </si>
  <si>
    <t xml:space="preserve">Owner Name
Due: MM/DD/YYYY</t>
  </si>
  <si>
    <t xml:space="preserve">Project 2 – [Name]</t>
  </si>
  <si>
    <t xml:space="preserve">🟡 Caution</t>
  </si>
  <si>
    <t xml:space="preserve">Project 3 – [Name]</t>
  </si>
  <si>
    <t xml:space="preserve">🔴 At Risk</t>
  </si>
  <si>
    <t xml:space="preserve">STATUS LEGEND</t>
  </si>
  <si>
    <t xml:space="preserve">  PROJECT TIMELINE  —  GANTT CHART</t>
  </si>
  <si>
    <t xml:space="preserve">Wk 1  04/06</t>
  </si>
  <si>
    <t xml:space="preserve">Wk 2  04/13</t>
  </si>
  <si>
    <t xml:space="preserve">Wk 3  04/20</t>
  </si>
  <si>
    <t xml:space="preserve">Wk 4  04/27</t>
  </si>
  <si>
    <t xml:space="preserve">Wk 5  05/04</t>
  </si>
  <si>
    <t xml:space="preserve">Wk 6  05/11</t>
  </si>
  <si>
    <t xml:space="preserve">Wk 7  05/18</t>
  </si>
  <si>
    <t xml:space="preserve">Wk 8  05/25</t>
  </si>
  <si>
    <t xml:space="preserve">Wk 9  06/01</t>
  </si>
  <si>
    <t xml:space="preserve">Wk 10  06/08</t>
  </si>
  <si>
    <t xml:space="preserve">Wk 11  06/15</t>
  </si>
  <si>
    <t xml:space="preserve">Wk 12  06/22</t>
  </si>
  <si>
    <t xml:space="preserve">PHASE</t>
  </si>
  <si>
    <t xml:space="preserve">ACTIVITY</t>
  </si>
  <si>
    <t xml:space="preserve">OWNER</t>
  </si>
  <si>
    <t xml:space="preserve">DUE DATE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</si>
  <si>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</si>
  <si>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</si>
  <si>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</si>
  <si>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</si>
  <si>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</si>
  <si>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</si>
  <si>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</si>
  <si>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</si>
  <si>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</si>
  <si>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</si>
  <si>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</si>
  <si>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</si>
  <si>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</si>
  <si>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</si>
  <si>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</si>
  <si>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</si>
  <si>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</t>
  </si>
  <si>
    <t xml:space="preserve">27</t>
  </si>
  <si>
    <t xml:space="preserve">28</t>
  </si>
  <si>
    <t xml:space="preserve">29</t>
  </si>
  <si>
    <t xml:space="preserve">30</t>
  </si>
  <si>
    <t xml:space="preserve">01</t>
  </si>
  <si>
    <t xml:space="preserve">0</t>
  </si>
  <si>
    <t xml:space="preserve">04</t>
  </si>
  <si>
    <t xml:space="preserve">05</t>
  </si>
  <si>
    <t xml:space="preserve">11</t>
  </si>
  <si>
    <t xml:space="preserve">12</t>
  </si>
  <si>
    <t xml:space="preserve">18</t>
  </si>
  <si>
    <t xml:space="preserve">19</t>
  </si>
  <si>
    <t xml:space="preserve">25</t>
  </si>
  <si>
    <t xml:space="preserve">26</t>
  </si>
  <si>
    <t xml:space="preserve">3</t>
  </si>
  <si>
    <t xml:space="preserve">02</t>
  </si>
  <si>
    <t xml:space="preserve">03</t>
  </si>
  <si>
    <t xml:space="preserve">  PROJECT 1 — [Project Name]</t>
  </si>
  <si>
    <t xml:space="preserve">Discovery</t>
  </si>
  <si>
    <t xml:space="preserve">Stakeholder Alignment</t>
  </si>
  <si>
    <t xml:space="preserve">Lead</t>
  </si>
  <si>
    <t xml:space="preserve">Requirements Gathering</t>
  </si>
  <si>
    <t xml:space="preserve">BA</t>
  </si>
  <si>
    <t xml:space="preserve">Design</t>
  </si>
  <si>
    <t xml:space="preserve">Architecture Design</t>
  </si>
  <si>
    <t xml:space="preserve">Arch</t>
  </si>
  <si>
    <t xml:space="preserve">Data Modeling</t>
  </si>
  <si>
    <t xml:space="preserve">DS</t>
  </si>
  <si>
    <t xml:space="preserve">Build</t>
  </si>
  <si>
    <t xml:space="preserve">Pipeline Development</t>
  </si>
  <si>
    <t xml:space="preserve">Prompt Engineering</t>
  </si>
  <si>
    <t xml:space="preserve">Testing</t>
  </si>
  <si>
    <t xml:space="preserve">QA &amp; Validation</t>
  </si>
  <si>
    <t xml:space="preserve">QA</t>
  </si>
  <si>
    <t xml:space="preserve">Deploy</t>
  </si>
  <si>
    <t xml:space="preserve">Pilot Rollout</t>
  </si>
  <si>
    <t xml:space="preserve">  PROJECT 2 — [Project Name]</t>
  </si>
  <si>
    <t xml:space="preserve">Planning</t>
  </si>
  <si>
    <t xml:space="preserve">Use Case Scoping</t>
  </si>
  <si>
    <t xml:space="preserve">Data Inventory</t>
  </si>
  <si>
    <t xml:space="preserve">Analyst</t>
  </si>
  <si>
    <t xml:space="preserve">Development</t>
  </si>
  <si>
    <t xml:space="preserve">Model Development</t>
  </si>
  <si>
    <t xml:space="preserve">Embedding Pipeline</t>
  </si>
  <si>
    <t xml:space="preserve">Governance</t>
  </si>
  <si>
    <t xml:space="preserve">SR 11-7 Documentation</t>
  </si>
  <si>
    <t xml:space="preserve">MRM</t>
  </si>
  <si>
    <t xml:space="preserve">Model Validation</t>
  </si>
  <si>
    <t xml:space="preserve">Production Deployment</t>
  </si>
  <si>
    <t xml:space="preserve">Eng</t>
  </si>
  <si>
    <t xml:space="preserve">  PROJECT 3 — [Project Name]</t>
  </si>
  <si>
    <t xml:space="preserve">Initiation</t>
  </si>
  <si>
    <t xml:space="preserve">Project Charter</t>
  </si>
  <si>
    <t xml:space="preserve">PM</t>
  </si>
  <si>
    <t xml:space="preserve">Resource Planning</t>
  </si>
  <si>
    <t xml:space="preserve">Analysis</t>
  </si>
  <si>
    <t xml:space="preserve">Current State Analysis</t>
  </si>
  <si>
    <t xml:space="preserve">Gap Assessment</t>
  </si>
  <si>
    <t xml:space="preserve">Solution Development</t>
  </si>
  <si>
    <t xml:space="preserve">Integration Testing</t>
  </si>
  <si>
    <t xml:space="preserve">Compliance Review</t>
  </si>
  <si>
    <t xml:space="preserve">Risk</t>
  </si>
  <si>
    <t xml:space="preserve">Go-Live</t>
  </si>
  <si>
    <t xml:space="preserve">  ▲ Today: April 09, 2026   |   Yellow column = today   |   Gray = weekend</t>
  </si>
  <si>
    <t xml:space="preserve">  ACTIVITY TRACKER  —  ALL PROJECTS</t>
  </si>
  <si>
    <t xml:space="preserve">  Track individual tasks and milestones across all projects  |  Update % Complete and Status as work progresses</t>
  </si>
  <si>
    <t xml:space="preserve">ACTIVITY / TASK</t>
  </si>
  <si>
    <t xml:space="preserve">START DATE</t>
  </si>
  <si>
    <t xml:space="preserve">% COMPLETE</t>
  </si>
  <si>
    <t xml:space="preserve">NOTES / BLOCKERS</t>
  </si>
  <si>
    <t xml:space="preserve">  ▶  Project 1 – [Name]</t>
  </si>
  <si>
    <t xml:space="preserve">Complete</t>
  </si>
  <si>
    <t xml:space="preserve">Sign-off received</t>
  </si>
  <si>
    <t xml:space="preserve">In Progress</t>
  </si>
  <si>
    <t xml:space="preserve">Final review pending</t>
  </si>
  <si>
    <t xml:space="preserve">Not Started</t>
  </si>
  <si>
    <t xml:space="preserve">Blocked on arch sign-off</t>
  </si>
  <si>
    <t xml:space="preserve">  ▶  Project 2 – [Name]</t>
  </si>
  <si>
    <t xml:space="preserve">Missing 2 data sources</t>
  </si>
  <si>
    <t xml:space="preserve">CPU-only constraint</t>
  </si>
  <si>
    <t xml:space="preserve">Dep: model complete</t>
  </si>
  <si>
    <t xml:space="preserve">  ▶  Project 3 – [Name]</t>
  </si>
  <si>
    <t xml:space="preserve">Resource risk - TBD</t>
  </si>
  <si>
    <t xml:space="preserve">SUMMARY COUNTS  (auto-calculated)</t>
  </si>
  <si>
    <t xml:space="preserve">Total Tasks</t>
  </si>
  <si>
    <t xml:space="preserve">Blocked</t>
  </si>
  <si>
    <t xml:space="preserve">  HOW TO USE THIS TRACKER</t>
  </si>
  <si>
    <t xml:space="preserve">SHEET</t>
  </si>
  <si>
    <t xml:space="preserve">PURPOSE</t>
  </si>
  <si>
    <t xml:space="preserve">📊 Dashboard</t>
  </si>
  <si>
    <t xml:space="preserve">High-level portfolio view. Update Project Name, Description, Status, Risks, Next Steps, and Owner for each project.</t>
  </si>
  <si>
    <t xml:space="preserve">📅 Gantt Chart</t>
  </si>
  <si>
    <t xml:space="preserve">Visual timeline. Replace task activities, owners, and adjust start/duration offsets in the build script, or update the cell values directly.</t>
  </si>
  <si>
    <t xml:space="preserve">✅ Task Tracker</t>
  </si>
  <si>
    <t xml:space="preserve">Granular task log. Update % Complete (0–100%) and Status dropdown for each row as work progresses.</t>
  </si>
  <si>
    <t xml:space="preserve">HOW TO CUSTOMIZE</t>
  </si>
  <si>
    <t xml:space="preserve">Rename Projects</t>
  </si>
  <si>
    <t xml:space="preserve">Find all cells containing '[Name]' and replace with your actual project names.</t>
  </si>
  <si>
    <t xml:space="preserve">Add Tasks</t>
  </si>
  <si>
    <t xml:space="preserve">In Task Tracker, copy an existing task row and paste below its project group. Update all fields.</t>
  </si>
  <si>
    <t xml:space="preserve">Update Gantt</t>
  </si>
  <si>
    <t xml:space="preserve">In Gantt Chart, the colored bars are set to fixed start + duration. Adjust bar fills manually or re-run the build script.</t>
  </si>
  <si>
    <t xml:space="preserve">Change Status</t>
  </si>
  <si>
    <t xml:space="preserve">In Dashboard, update the STATUS cell text: '🟢 On Track', '🟡 Caution', or '🔴 At Risk'.</t>
  </si>
  <si>
    <t xml:space="preserve">Add a 4th Project</t>
  </si>
  <si>
    <t xml:space="preserve">In each sheet, duplicate a project block and re-color using a new accent color.</t>
  </si>
  <si>
    <t xml:space="preserve">COLOR LEGEND</t>
  </si>
  <si>
    <t xml:space="preserve">🔵 Blue bars</t>
  </si>
  <si>
    <t xml:space="preserve">Project 1 tasks on the Gantt chart</t>
  </si>
  <si>
    <t xml:space="preserve">🟢 Green bars</t>
  </si>
  <si>
    <t xml:space="preserve">Project 2 tasks on the Gantt chart</t>
  </si>
  <si>
    <t xml:space="preserve">🟣 Purple bars</t>
  </si>
  <si>
    <t xml:space="preserve">Project 3 tasks on the Gantt chart</t>
  </si>
  <si>
    <t xml:space="preserve">🟡 Gold column</t>
  </si>
  <si>
    <t xml:space="preserve">Today's date on the Gantt chart</t>
  </si>
  <si>
    <t xml:space="preserve">⬜ Gray columns</t>
  </si>
  <si>
    <t xml:space="preserve">Weekend days on the Gantt chart (non-working)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</si>
</sst>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"/>
    <numFmt numFmtId="166" formatCode="mm/dd/yy"/>
    <numFmt numFmtId="167" formatCode="0%"/>
    <numFmt numFmtId="168" formatCode="General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9"/>
      <color rgb="FFF4A9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6.5"/>
      <color rgb="FFFFFFFF"/>
      <name val="Arial"/>
      <family val="0"/>
      <charset val="1"/>
    </font>
    <font>
      <b val="true"/>
      <sz val="6.5"/>
      <color rgb="FFFFFFFF"/>
      <name val="Arial"/>
      <family val="0"/>
      <charset val="1"/>
    </font>
    <font>
      <sz val="6.5"/>
      <color rgb="FF999999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sz val="9"/>
      <color rgb="FF1A1A1A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AAAAAA"/>
      <name val="Arial"/>
      <family val="0"/>
      <charset val="1"/>
    </font>
    <font>
      <sz val="8"/>
      <color rgb="FF444444"/>
      <name val="Arial"/>
      <family val="0"/>
      <charset val="1"/>
    </font>
    <font>
      <b val="true"/>
      <sz val="9"/>
      <color rgb="FF1E7B45"/>
      <name val="Arial"/>
      <family val="0"/>
      <charset val="1"/>
    </font>
    <font>
      <b val="true"/>
      <sz val="8"/>
      <color rgb="FF059669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8"/>
      <color rgb="FF1D4ED8"/>
      <name val="Arial"/>
      <family val="0"/>
      <charset val="1"/>
    </font>
    <font>
      <b val="true"/>
      <sz val="9"/>
      <color rgb="FF94A3B8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8"/>
      <color rgb="FF555555"/>
      <name val="Arial"/>
      <family val="0"/>
      <charset val="1"/>
    </font>
    <font>
      <b val="true"/>
      <sz val="14"/>
      <color rgb="FF1B3A5C"/>
      <name val="Arial"/>
      <family val="0"/>
      <charset val="1"/>
    </font>
    <font>
      <b val="true"/>
      <sz val="9"/>
      <color rgb="FF1B3A5C"/>
      <name val="Arial"/>
      <family val="0"/>
      <charset val="1"/>
    </font>
    <font>
      <sz val="9"/>
      <color rgb="FF333333"/>
      <name val="Arial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B3A5C"/>
        <bgColor rgb="FF243E5A"/>
      </patternFill>
    </fill>
    <fill>
      <patternFill patternType="solid">
        <fgColor rgb="FF243E5A"/>
        <bgColor rgb="FF1B3A5C"/>
      </patternFill>
    </fill>
    <fill>
      <patternFill patternType="solid">
        <fgColor rgb="FF2E6DA4"/>
        <bgColor rgb="FF3A5070"/>
      </patternFill>
    </fill>
    <fill>
      <patternFill patternType="solid">
        <fgColor rgb="FFD6E4F0"/>
        <bgColor rgb="FFD6E8F7"/>
      </patternFill>
    </fill>
    <fill>
      <patternFill patternType="solid">
        <fgColor rgb="FF1E7B45"/>
        <bgColor rgb="FF059669"/>
      </patternFill>
    </fill>
    <fill>
      <patternFill patternType="solid">
        <fgColor rgb="FFE2E8F0"/>
        <bgColor rgb="FFEBEBEB"/>
      </patternFill>
    </fill>
    <fill>
      <patternFill patternType="solid">
        <fgColor rgb="FFFFFFFF"/>
        <bgColor rgb="FFF8FAFF"/>
      </patternFill>
    </fill>
    <fill>
      <patternFill patternType="solid">
        <fgColor rgb="FFD97706"/>
        <bgColor rgb="FFF4A900"/>
      </patternFill>
    </fill>
    <fill>
      <patternFill patternType="solid">
        <fgColor rgb="FF8B5CF6"/>
        <bgColor rgb="FF64748B"/>
      </patternFill>
    </fill>
    <fill>
      <patternFill patternType="solid">
        <fgColor rgb="FFC0392B"/>
        <bgColor rgb="FFD97706"/>
      </patternFill>
    </fill>
    <fill>
      <patternFill patternType="solid">
        <fgColor rgb="FF1F4E79"/>
        <bgColor rgb="FF3A5070"/>
      </patternFill>
    </fill>
    <fill>
      <patternFill patternType="solid">
        <fgColor rgb="FFF4A900"/>
        <bgColor rgb="FFD97706"/>
      </patternFill>
    </fill>
    <fill>
      <patternFill patternType="solid">
        <fgColor rgb="FF3A5070"/>
        <bgColor rgb="FF1F4E79"/>
      </patternFill>
    </fill>
    <fill>
      <patternFill patternType="solid">
        <fgColor rgb="FFD6E8F7"/>
        <bgColor rgb="FFD6E4F0"/>
      </patternFill>
    </fill>
    <fill>
      <patternFill patternType="solid">
        <fgColor rgb="FFF0F7FF"/>
        <bgColor rgb="FFEEF2FF"/>
      </patternFill>
    </fill>
    <fill>
      <patternFill patternType="solid">
        <fgColor rgb="FFEBEBEB"/>
        <bgColor rgb="FFE2E8F0"/>
      </patternFill>
    </fill>
    <fill>
      <patternFill patternType="solid">
        <fgColor rgb="FFFEF9C3"/>
        <bgColor rgb="FFF0FFF4"/>
      </patternFill>
    </fill>
    <fill>
      <patternFill patternType="solid">
        <fgColor rgb="FFD1EAE0"/>
        <bgColor rgb="FFD6E4F0"/>
      </patternFill>
    </fill>
    <fill>
      <patternFill patternType="solid">
        <fgColor rgb="FFF0FFF4"/>
        <bgColor rgb="FFF0FFF8"/>
      </patternFill>
    </fill>
    <fill>
      <patternFill patternType="solid">
        <fgColor rgb="FFEDE9FE"/>
        <bgColor rgb="FFEBEBEB"/>
      </patternFill>
    </fill>
    <fill>
      <patternFill patternType="solid">
        <fgColor rgb="FFF5F3FF"/>
        <bgColor rgb="FFEEF2FF"/>
      </patternFill>
    </fill>
    <fill>
      <patternFill patternType="solid">
        <fgColor rgb="FFF8FAFF"/>
        <bgColor rgb="FFFAF7FF"/>
      </patternFill>
    </fill>
    <fill>
      <patternFill patternType="solid">
        <fgColor rgb="FFD1FAE5"/>
        <bgColor rgb="FFD1EAE0"/>
      </patternFill>
    </fill>
    <fill>
      <patternFill patternType="solid">
        <fgColor rgb="FFDBEAFE"/>
        <bgColor rgb="FFD6E8F7"/>
      </patternFill>
    </fill>
    <fill>
      <patternFill patternType="solid">
        <fgColor rgb="FFF0FFF8"/>
        <bgColor rgb="FFF0FFF4"/>
      </patternFill>
    </fill>
    <fill>
      <patternFill patternType="solid">
        <fgColor rgb="FFFAF7FF"/>
        <bgColor rgb="FFF8FAFF"/>
      </patternFill>
    </fill>
    <fill>
      <patternFill patternType="solid">
        <fgColor rgb="FFEEF2FF"/>
        <bgColor rgb="FFF5F3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medium">
        <color rgb="FFF4A900"/>
      </bottom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6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8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0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6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5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6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8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0" fillId="2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3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0FFF8"/>
      <rgbColor rgb="FFFF00FF"/>
      <rgbColor rgb="FF00FFFF"/>
      <rgbColor rgb="FF800000"/>
      <rgbColor rgb="FF1F4E79"/>
      <rgbColor rgb="FF000080"/>
      <rgbColor rgb="FF666666"/>
      <rgbColor rgb="FF800080"/>
      <rgbColor rgb="FF059669"/>
      <rgbColor rgb="FFAAAAAA"/>
      <rgbColor rgb="FF888888"/>
      <rgbColor rgb="FF94A3B8"/>
      <rgbColor rgb="FF555555"/>
      <rgbColor rgb="FFFEF9C3"/>
      <rgbColor rgb="FFDBEAFE"/>
      <rgbColor rgb="FF660066"/>
      <rgbColor rgb="FFEEF2FF"/>
      <rgbColor rgb="FF1D4ED8"/>
      <rgbColor rgb="FFD6E4F0"/>
      <rgbColor rgb="FF000080"/>
      <rgbColor rgb="FFFF00FF"/>
      <rgbColor rgb="FFF8FAFF"/>
      <rgbColor rgb="FF00FFFF"/>
      <rgbColor rgb="FF800080"/>
      <rgbColor rgb="FF800000"/>
      <rgbColor rgb="FF1E7B45"/>
      <rgbColor rgb="FF0000FF"/>
      <rgbColor rgb="FF00CCFF"/>
      <rgbColor rgb="FFD6E8F7"/>
      <rgbColor rgb="FFD1FAE5"/>
      <rgbColor rgb="FFF0FFF4"/>
      <rgbColor rgb="FFD1EAE0"/>
      <rgbColor rgb="FFEDE9FE"/>
      <rgbColor rgb="FFE2E8F0"/>
      <rgbColor rgb="FFEBEBEB"/>
      <rgbColor rgb="FF2E6DA4"/>
      <rgbColor rgb="FFFAF7FF"/>
      <rgbColor rgb="FFF0F7FF"/>
      <rgbColor rgb="FFF5F3FF"/>
      <rgbColor rgb="FFF4A900"/>
      <rgbColor rgb="FFD97706"/>
      <rgbColor rgb="FF64748B"/>
      <rgbColor rgb="FF999999"/>
      <rgbColor rgb="FF1B3A5C"/>
      <rgbColor rgb="FF3A5070"/>
      <rgbColor rgb="FF444444"/>
      <rgbColor rgb="FF1A1A1A"/>
      <rgbColor rgb="FFC0392B"/>
      <rgbColor rgb="FF8B5CF6"/>
      <rgbColor rgb="FF243E5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B1:G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6" min="5" style="0" width="30"/>
    <col collapsed="false" customWidth="true" hidden="false" outlineLevel="0" max="7" min="7" style="0" width="20"/>
    <col collapsed="false" customWidth="true" hidden="false" outlineLevel="0" max="8" min="8" style="0" width="2"/>
  </cols>
  <sheetData>
    <row r="1" customFormat="false" ht="9.7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8" hidden="false" customHeight="true" outlineLevel="0" collapsed="false"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B5" s="4" t="s">
        <v>2</v>
      </c>
      <c r="C5" s="4"/>
      <c r="D5" s="4"/>
      <c r="E5" s="4"/>
      <c r="F5" s="4"/>
      <c r="G5" s="4"/>
    </row>
    <row r="6" customFormat="false" ht="27.7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customFormat="false" ht="15.75" hidden="false" customHeight="true" outlineLevel="0" collapsed="false">
      <c r="B7" s="6" t="s">
        <v>9</v>
      </c>
      <c r="C7" s="7" t="s">
        <v>10</v>
      </c>
      <c r="D7" s="8" t="s">
        <v>11</v>
      </c>
      <c r="E7" s="9" t="s">
        <v>12</v>
      </c>
      <c r="F7" s="9" t="s">
        <v>13</v>
      </c>
      <c r="G7" s="10" t="s">
        <v>14</v>
      </c>
    </row>
    <row r="8" customFormat="false" ht="15.75" hidden="false" customHeight="true" outlineLevel="0" collapsed="false">
      <c r="B8" s="6"/>
      <c r="C8" s="6"/>
      <c r="D8" s="6"/>
      <c r="E8" s="6"/>
      <c r="F8" s="6"/>
      <c r="G8" s="6"/>
    </row>
    <row r="9" customFormat="false" ht="15.75" hidden="false" customHeight="true" outlineLevel="0" collapsed="false">
      <c r="B9" s="6"/>
      <c r="C9" s="6"/>
      <c r="D9" s="6"/>
      <c r="E9" s="6"/>
      <c r="F9" s="6"/>
      <c r="G9" s="6"/>
    </row>
    <row r="10" customFormat="false" ht="15.75" hidden="false" customHeight="true" outlineLevel="0" collapsed="false">
      <c r="B10" s="6"/>
      <c r="C10" s="6"/>
      <c r="D10" s="6"/>
      <c r="E10" s="6"/>
      <c r="F10" s="6"/>
      <c r="G10" s="6"/>
    </row>
    <row r="11" customFormat="false" ht="3.75" hidden="false" customHeight="true" outlineLevel="0" collapsed="false">
      <c r="B11" s="11"/>
      <c r="C11" s="11"/>
      <c r="D11" s="11"/>
      <c r="E11" s="11"/>
      <c r="F11" s="11"/>
      <c r="G11" s="11"/>
    </row>
    <row r="12" customFormat="false" ht="15.75" hidden="false" customHeight="true" outlineLevel="0" collapsed="false">
      <c r="B12" s="12" t="s">
        <v>15</v>
      </c>
      <c r="C12" s="13" t="s">
        <v>10</v>
      </c>
      <c r="D12" s="14" t="s">
        <v>16</v>
      </c>
      <c r="E12" s="15" t="s">
        <v>12</v>
      </c>
      <c r="F12" s="15" t="s">
        <v>13</v>
      </c>
      <c r="G12" s="16" t="s">
        <v>14</v>
      </c>
    </row>
    <row r="13" customFormat="false" ht="15.75" hidden="false" customHeight="true" outlineLevel="0" collapsed="false">
      <c r="B13" s="12"/>
      <c r="C13" s="12"/>
      <c r="D13" s="12"/>
      <c r="E13" s="12"/>
      <c r="F13" s="12"/>
      <c r="G13" s="12"/>
    </row>
    <row r="14" customFormat="false" ht="15.75" hidden="false" customHeight="true" outlineLevel="0" collapsed="false">
      <c r="B14" s="12"/>
      <c r="C14" s="12"/>
      <c r="D14" s="12"/>
      <c r="E14" s="12"/>
      <c r="F14" s="12"/>
      <c r="G14" s="12"/>
    </row>
    <row r="15" customFormat="false" ht="15.75" hidden="false" customHeight="true" outlineLevel="0" collapsed="false">
      <c r="B15" s="12"/>
      <c r="C15" s="12"/>
      <c r="D15" s="12"/>
      <c r="E15" s="12"/>
      <c r="F15" s="12"/>
      <c r="G15" s="12"/>
    </row>
    <row r="16" customFormat="false" ht="3.75" hidden="false" customHeight="true" outlineLevel="0" collapsed="false">
      <c r="B16" s="11"/>
      <c r="C16" s="11"/>
      <c r="D16" s="11"/>
      <c r="E16" s="11"/>
      <c r="F16" s="11"/>
      <c r="G16" s="11"/>
    </row>
    <row r="17" customFormat="false" ht="15.75" hidden="false" customHeight="true" outlineLevel="0" collapsed="false">
      <c r="B17" s="17" t="s">
        <v>17</v>
      </c>
      <c r="C17" s="7" t="s">
        <v>10</v>
      </c>
      <c r="D17" s="18" t="s">
        <v>18</v>
      </c>
      <c r="E17" s="9" t="s">
        <v>12</v>
      </c>
      <c r="F17" s="9" t="s">
        <v>13</v>
      </c>
      <c r="G17" s="10" t="s">
        <v>14</v>
      </c>
    </row>
    <row r="18" customFormat="false" ht="15.75" hidden="false" customHeight="true" outlineLevel="0" collapsed="false">
      <c r="B18" s="17"/>
      <c r="C18" s="17"/>
      <c r="D18" s="17"/>
      <c r="E18" s="17"/>
      <c r="F18" s="17"/>
      <c r="G18" s="17"/>
    </row>
    <row r="19" customFormat="false" ht="15.75" hidden="false" customHeight="true" outlineLevel="0" collapsed="false">
      <c r="B19" s="17"/>
      <c r="C19" s="17"/>
      <c r="D19" s="17"/>
      <c r="E19" s="17"/>
      <c r="F19" s="17"/>
      <c r="G19" s="17"/>
    </row>
    <row r="20" customFormat="false" ht="15.75" hidden="false" customHeight="true" outlineLevel="0" collapsed="false">
      <c r="B20" s="17"/>
      <c r="C20" s="17"/>
      <c r="D20" s="17"/>
      <c r="E20" s="17"/>
      <c r="F20" s="17"/>
      <c r="G20" s="17"/>
    </row>
    <row r="21" customFormat="false" ht="3.75" hidden="false" customHeight="true" outlineLevel="0" collapsed="false">
      <c r="B21" s="11"/>
      <c r="C21" s="11"/>
      <c r="D21" s="11"/>
      <c r="E21" s="11"/>
      <c r="F21" s="11"/>
      <c r="G21" s="11"/>
    </row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>
      <c r="B24" s="19" t="s">
        <v>19</v>
      </c>
      <c r="C24" s="19"/>
      <c r="D24" s="19"/>
      <c r="E24" s="19"/>
      <c r="F24" s="19"/>
      <c r="G24" s="19"/>
    </row>
    <row r="25" customFormat="false" ht="18" hidden="false" customHeight="true" outlineLevel="0" collapsed="false">
      <c r="B25" s="20" t="s">
        <v>11</v>
      </c>
      <c r="C25" s="21" t="s">
        <v>16</v>
      </c>
      <c r="D25" s="22" t="s">
        <v>18</v>
      </c>
    </row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</sheetData>
  <mergeCells count="23">
    <mergeCell ref="B2:G2"/>
    <mergeCell ref="B3:G3"/>
    <mergeCell ref="B4:G4"/>
    <mergeCell ref="B5:G5"/>
    <mergeCell ref="B7:B10"/>
    <mergeCell ref="C7:C10"/>
    <mergeCell ref="D7:D10"/>
    <mergeCell ref="E7:E10"/>
    <mergeCell ref="F7:F10"/>
    <mergeCell ref="G7:G10"/>
    <mergeCell ref="B12:B15"/>
    <mergeCell ref="C12:C15"/>
    <mergeCell ref="D12:D15"/>
    <mergeCell ref="E12:E15"/>
    <mergeCell ref="F12:F15"/>
    <mergeCell ref="G12:G15"/>
    <mergeCell ref="B17:B20"/>
    <mergeCell ref="C17:C20"/>
    <mergeCell ref="D17:D20"/>
    <mergeCell ref="E17:E20"/>
    <mergeCell ref="F17:F20"/>
    <mergeCell ref="G17:G20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B1:C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11" min="7" style="0" width="3.2"/>
    <col collapsed="false" customWidth="true" hidden="false" outlineLevel="0" max="13" min="12" style="0" width="2.5"/>
    <col collapsed="false" customWidth="true" hidden="false" outlineLevel="0" max="18" min="14" style="0" width="3.2"/>
    <col collapsed="false" customWidth="true" hidden="false" outlineLevel="0" max="20" min="19" style="0" width="2.5"/>
    <col collapsed="false" customWidth="true" hidden="false" outlineLevel="0" max="25" min="21" style="0" width="3.2"/>
    <col collapsed="false" customWidth="true" hidden="false" outlineLevel="0" max="27" min="26" style="0" width="2.5"/>
    <col collapsed="false" customWidth="true" hidden="false" outlineLevel="0" max="32" min="28" style="0" width="3.2"/>
    <col collapsed="false" customWidth="true" hidden="false" outlineLevel="0" max="34" min="33" style="0" width="2.5"/>
    <col collapsed="false" customWidth="true" hidden="false" outlineLevel="0" max="39" min="35" style="0" width="3.2"/>
    <col collapsed="false" customWidth="true" hidden="false" outlineLevel="0" max="41" min="40" style="0" width="2.5"/>
    <col collapsed="false" customWidth="true" hidden="false" outlineLevel="0" max="46" min="42" style="0" width="3.2"/>
    <col collapsed="false" customWidth="true" hidden="false" outlineLevel="0" max="48" min="47" style="0" width="2.5"/>
    <col collapsed="false" customWidth="true" hidden="false" outlineLevel="0" max="53" min="49" style="0" width="3.2"/>
    <col collapsed="false" customWidth="true" hidden="false" outlineLevel="0" max="55" min="54" style="0" width="2.5"/>
    <col collapsed="false" customWidth="true" hidden="false" outlineLevel="0" max="60" min="56" style="0" width="3.2"/>
    <col collapsed="false" customWidth="true" hidden="false" outlineLevel="0" max="62" min="61" style="0" width="2.5"/>
    <col collapsed="false" customWidth="true" hidden="false" outlineLevel="0" max="67" min="63" style="0" width="3.2"/>
    <col collapsed="false" customWidth="true" hidden="false" outlineLevel="0" max="69" min="68" style="0" width="2.5"/>
    <col collapsed="false" customWidth="true" hidden="false" outlineLevel="0" max="74" min="70" style="0" width="3.2"/>
    <col collapsed="false" customWidth="true" hidden="false" outlineLevel="0" max="76" min="75" style="0" width="2.5"/>
    <col collapsed="false" customWidth="true" hidden="false" outlineLevel="0" max="81" min="77" style="0" width="3.2"/>
    <col collapsed="false" customWidth="true" hidden="false" outlineLevel="0" max="83" min="82" style="0" width="2.5"/>
    <col collapsed="false" customWidth="true" hidden="false" outlineLevel="0" max="88" min="84" style="0" width="3.2"/>
    <col collapsed="false" customWidth="true" hidden="false" outlineLevel="0" max="90" min="89" style="0" width="2.5"/>
  </cols>
  <sheetData>
    <row r="1" customFormat="false" ht="27.75" hidden="false" customHeight="true" outlineLevel="0" collapsed="false">
      <c r="B1" s="23" t="s">
        <v>20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</row>
    <row r="2" customFormat="false" ht="18" hidden="false" customHeight="true" outlineLevel="0" collapsed="false">
      <c r="G2" s="24" t="s">
        <v>21</v>
      </c>
      <c r="H2" s="24"/>
      <c r="I2" s="24"/>
      <c r="J2" s="24"/>
      <c r="K2" s="24"/>
      <c r="L2" s="24"/>
      <c r="M2" s="24"/>
      <c r="N2" s="25" t="s">
        <v>22</v>
      </c>
      <c r="O2" s="25"/>
      <c r="P2" s="25"/>
      <c r="Q2" s="25"/>
      <c r="R2" s="25"/>
      <c r="S2" s="25"/>
      <c r="T2" s="25"/>
      <c r="U2" s="24" t="s">
        <v>23</v>
      </c>
      <c r="V2" s="24"/>
      <c r="W2" s="24"/>
      <c r="X2" s="24"/>
      <c r="Y2" s="24"/>
      <c r="Z2" s="24"/>
      <c r="AA2" s="24"/>
      <c r="AB2" s="25" t="s">
        <v>24</v>
      </c>
      <c r="AC2" s="25"/>
      <c r="AD2" s="25"/>
      <c r="AE2" s="25"/>
      <c r="AF2" s="25"/>
      <c r="AG2" s="25"/>
      <c r="AH2" s="25"/>
      <c r="AI2" s="24" t="s">
        <v>25</v>
      </c>
      <c r="AJ2" s="24"/>
      <c r="AK2" s="24"/>
      <c r="AL2" s="24"/>
      <c r="AM2" s="24"/>
      <c r="AN2" s="24"/>
      <c r="AO2" s="24"/>
      <c r="AP2" s="25" t="s">
        <v>26</v>
      </c>
      <c r="AQ2" s="25"/>
      <c r="AR2" s="25"/>
      <c r="AS2" s="25"/>
      <c r="AT2" s="25"/>
      <c r="AU2" s="25"/>
      <c r="AV2" s="25"/>
      <c r="AW2" s="24" t="s">
        <v>27</v>
      </c>
      <c r="AX2" s="24"/>
      <c r="AY2" s="24"/>
      <c r="AZ2" s="24"/>
      <c r="BA2" s="24"/>
      <c r="BB2" s="24"/>
      <c r="BC2" s="24"/>
      <c r="BD2" s="25" t="s">
        <v>28</v>
      </c>
      <c r="BE2" s="25"/>
      <c r="BF2" s="25"/>
      <c r="BG2" s="25"/>
      <c r="BH2" s="25"/>
      <c r="BI2" s="25"/>
      <c r="BJ2" s="25"/>
      <c r="BK2" s="24" t="s">
        <v>29</v>
      </c>
      <c r="BL2" s="24"/>
      <c r="BM2" s="24"/>
      <c r="BN2" s="24"/>
      <c r="BO2" s="24"/>
      <c r="BP2" s="24"/>
      <c r="BQ2" s="24"/>
      <c r="BR2" s="25" t="s">
        <v>30</v>
      </c>
      <c r="BS2" s="25"/>
      <c r="BT2" s="25"/>
      <c r="BU2" s="25"/>
      <c r="BV2" s="25"/>
      <c r="BW2" s="25"/>
      <c r="BX2" s="25"/>
      <c r="BY2" s="24" t="s">
        <v>31</v>
      </c>
      <c r="BZ2" s="24"/>
      <c r="CA2" s="24"/>
      <c r="CB2" s="24"/>
      <c r="CC2" s="24"/>
      <c r="CD2" s="24"/>
      <c r="CE2" s="24"/>
      <c r="CF2" s="25" t="s">
        <v>32</v>
      </c>
      <c r="CG2" s="25"/>
      <c r="CH2" s="25"/>
      <c r="CI2" s="25"/>
      <c r="CJ2" s="25"/>
      <c r="CK2" s="25"/>
      <c r="CL2" s="25"/>
    </row>
    <row r="3" customFormat="false" ht="15.75" hidden="false" customHeight="true" outlineLevel="0" collapsed="false">
      <c r="B3" s="5" t="s">
        <v>3</v>
      </c>
      <c r="C3" s="5" t="s">
        <v>33</v>
      </c>
      <c r="D3" s="5" t="s">
        <v>34</v>
      </c>
      <c r="E3" s="5" t="s">
        <v>35</v>
      </c>
      <c r="F3" s="5" t="s">
        <v>36</v>
      </c>
      <c r="G3" s="26" t="s">
        <v>37</v>
      </c>
      <c r="H3" s="27" t="s">
        <v>38</v>
      </c>
      <c r="I3" s="27" t="s">
        <v>39</v>
      </c>
      <c r="J3" s="28" t="s">
        <v>40</v>
      </c>
      <c r="K3" s="27" t="s">
        <v>41</v>
      </c>
      <c r="L3" s="29" t="s">
        <v>42</v>
      </c>
      <c r="M3" s="29" t="s">
        <v>42</v>
      </c>
      <c r="N3" s="26" t="s">
        <v>43</v>
      </c>
      <c r="O3" s="27" t="s">
        <v>44</v>
      </c>
      <c r="P3" s="27" t="s">
        <v>45</v>
      </c>
      <c r="Q3" s="27" t="s">
        <v>46</v>
      </c>
      <c r="R3" s="27" t="s">
        <v>47</v>
      </c>
      <c r="S3" s="29" t="s">
        <v>42</v>
      </c>
      <c r="T3" s="29" t="s">
        <v>42</v>
      </c>
      <c r="U3" s="26" t="s">
        <v>48</v>
      </c>
      <c r="V3" s="27" t="s">
        <v>49</v>
      </c>
      <c r="W3" s="27" t="s">
        <v>50</v>
      </c>
      <c r="X3" s="27" t="s">
        <v>51</v>
      </c>
      <c r="Y3" s="27" t="s">
        <v>52</v>
      </c>
      <c r="Z3" s="29" t="s">
        <v>53</v>
      </c>
      <c r="AA3" s="29" t="s">
        <v>53</v>
      </c>
      <c r="AB3" s="26" t="s">
        <v>54</v>
      </c>
      <c r="AC3" s="27" t="s">
        <v>55</v>
      </c>
      <c r="AD3" s="27" t="s">
        <v>56</v>
      </c>
      <c r="AE3" s="27" t="s">
        <v>57</v>
      </c>
      <c r="AF3" s="27" t="s">
        <v>58</v>
      </c>
      <c r="AG3" s="29" t="s">
        <v>59</v>
      </c>
      <c r="AH3" s="29" t="s">
        <v>59</v>
      </c>
      <c r="AI3" s="26" t="s">
        <v>60</v>
      </c>
      <c r="AJ3" s="27" t="s">
        <v>61</v>
      </c>
      <c r="AK3" s="27" t="s">
        <v>37</v>
      </c>
      <c r="AL3" s="27" t="s">
        <v>38</v>
      </c>
      <c r="AM3" s="27" t="s">
        <v>39</v>
      </c>
      <c r="AN3" s="29" t="s">
        <v>59</v>
      </c>
      <c r="AO3" s="29" t="s">
        <v>42</v>
      </c>
      <c r="AP3" s="26" t="s">
        <v>62</v>
      </c>
      <c r="AQ3" s="27" t="s">
        <v>63</v>
      </c>
      <c r="AR3" s="27" t="s">
        <v>43</v>
      </c>
      <c r="AS3" s="27" t="s">
        <v>44</v>
      </c>
      <c r="AT3" s="27" t="s">
        <v>45</v>
      </c>
      <c r="AU3" s="29" t="s">
        <v>42</v>
      </c>
      <c r="AV3" s="29" t="s">
        <v>42</v>
      </c>
      <c r="AW3" s="26" t="s">
        <v>64</v>
      </c>
      <c r="AX3" s="27" t="s">
        <v>65</v>
      </c>
      <c r="AY3" s="27" t="s">
        <v>48</v>
      </c>
      <c r="AZ3" s="27" t="s">
        <v>49</v>
      </c>
      <c r="BA3" s="27" t="s">
        <v>50</v>
      </c>
      <c r="BB3" s="29" t="s">
        <v>53</v>
      </c>
      <c r="BC3" s="29" t="s">
        <v>53</v>
      </c>
      <c r="BD3" s="26" t="s">
        <v>66</v>
      </c>
      <c r="BE3" s="27" t="s">
        <v>67</v>
      </c>
      <c r="BF3" s="27" t="s">
        <v>54</v>
      </c>
      <c r="BG3" s="27" t="s">
        <v>55</v>
      </c>
      <c r="BH3" s="27" t="s">
        <v>56</v>
      </c>
      <c r="BI3" s="29" t="s">
        <v>68</v>
      </c>
      <c r="BJ3" s="29" t="s">
        <v>68</v>
      </c>
      <c r="BK3" s="26" t="s">
        <v>58</v>
      </c>
      <c r="BL3" s="27" t="s">
        <v>69</v>
      </c>
      <c r="BM3" s="27" t="s">
        <v>70</v>
      </c>
      <c r="BN3" s="27" t="s">
        <v>60</v>
      </c>
      <c r="BO3" s="27" t="s">
        <v>61</v>
      </c>
      <c r="BP3" s="29" t="s">
        <v>59</v>
      </c>
      <c r="BQ3" s="29" t="s">
        <v>59</v>
      </c>
      <c r="BR3" s="26" t="s">
        <v>39</v>
      </c>
      <c r="BS3" s="27" t="s">
        <v>40</v>
      </c>
      <c r="BT3" s="27" t="s">
        <v>41</v>
      </c>
      <c r="BU3" s="27" t="s">
        <v>62</v>
      </c>
      <c r="BV3" s="27" t="s">
        <v>63</v>
      </c>
      <c r="BW3" s="29" t="s">
        <v>42</v>
      </c>
      <c r="BX3" s="29" t="s">
        <v>42</v>
      </c>
      <c r="BY3" s="26" t="s">
        <v>45</v>
      </c>
      <c r="BZ3" s="27" t="s">
        <v>46</v>
      </c>
      <c r="CA3" s="27" t="s">
        <v>47</v>
      </c>
      <c r="CB3" s="27" t="s">
        <v>64</v>
      </c>
      <c r="CC3" s="27" t="s">
        <v>65</v>
      </c>
      <c r="CD3" s="29" t="s">
        <v>53</v>
      </c>
      <c r="CE3" s="29" t="s">
        <v>53</v>
      </c>
      <c r="CF3" s="26" t="s">
        <v>50</v>
      </c>
      <c r="CG3" s="27" t="s">
        <v>51</v>
      </c>
      <c r="CH3" s="27" t="s">
        <v>52</v>
      </c>
      <c r="CI3" s="27" t="s">
        <v>66</v>
      </c>
      <c r="CJ3" s="27" t="s">
        <v>67</v>
      </c>
      <c r="CK3" s="29" t="s">
        <v>53</v>
      </c>
      <c r="CL3" s="29" t="s">
        <v>53</v>
      </c>
    </row>
    <row r="4" customFormat="false" ht="19.5" hidden="false" customHeight="true" outlineLevel="0" collapsed="false">
      <c r="B4" s="30" t="s">
        <v>71</v>
      </c>
      <c r="C4" s="30"/>
      <c r="D4" s="30"/>
      <c r="E4" s="30"/>
      <c r="F4" s="31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</row>
    <row r="5" customFormat="false" ht="15.75" hidden="false" customHeight="true" outlineLevel="0" collapsed="false">
      <c r="B5" s="33"/>
      <c r="C5" s="34" t="s">
        <v>72</v>
      </c>
      <c r="D5" s="35" t="s">
        <v>73</v>
      </c>
      <c r="E5" s="34" t="s">
        <v>74</v>
      </c>
      <c r="F5" s="36" t="n">
        <v>46122</v>
      </c>
      <c r="G5" s="31"/>
      <c r="H5" s="31"/>
      <c r="I5" s="31"/>
      <c r="J5" s="31"/>
      <c r="K5" s="31"/>
      <c r="L5" s="37"/>
      <c r="M5" s="37"/>
      <c r="N5" s="38"/>
      <c r="O5" s="38"/>
      <c r="P5" s="38"/>
      <c r="Q5" s="38"/>
      <c r="R5" s="38"/>
      <c r="S5" s="37"/>
      <c r="T5" s="37"/>
      <c r="U5" s="38"/>
      <c r="V5" s="38"/>
      <c r="W5" s="38"/>
      <c r="X5" s="38"/>
      <c r="Y5" s="38"/>
      <c r="Z5" s="37"/>
      <c r="AA5" s="37"/>
      <c r="AB5" s="38"/>
      <c r="AC5" s="38"/>
      <c r="AD5" s="38"/>
      <c r="AE5" s="38"/>
      <c r="AF5" s="38"/>
      <c r="AG5" s="37"/>
      <c r="AH5" s="37"/>
      <c r="AI5" s="38"/>
      <c r="AJ5" s="38"/>
      <c r="AK5" s="38"/>
      <c r="AL5" s="38"/>
      <c r="AM5" s="38"/>
      <c r="AN5" s="37"/>
      <c r="AO5" s="37"/>
      <c r="AP5" s="38"/>
      <c r="AQ5" s="38"/>
      <c r="AR5" s="38"/>
      <c r="AS5" s="38"/>
      <c r="AT5" s="38"/>
      <c r="AU5" s="37"/>
      <c r="AV5" s="37"/>
      <c r="AW5" s="38"/>
      <c r="AX5" s="38"/>
      <c r="AY5" s="38"/>
      <c r="AZ5" s="38"/>
      <c r="BA5" s="38"/>
      <c r="BB5" s="37"/>
      <c r="BC5" s="37"/>
      <c r="BD5" s="38"/>
      <c r="BE5" s="38"/>
      <c r="BF5" s="38"/>
      <c r="BG5" s="38"/>
      <c r="BH5" s="38"/>
      <c r="BI5" s="37"/>
      <c r="BJ5" s="37"/>
      <c r="BK5" s="38"/>
      <c r="BL5" s="38"/>
      <c r="BM5" s="38"/>
      <c r="BN5" s="38"/>
      <c r="BO5" s="38"/>
      <c r="BP5" s="37"/>
      <c r="BQ5" s="37"/>
      <c r="BR5" s="38"/>
      <c r="BS5" s="38"/>
      <c r="BT5" s="38"/>
      <c r="BU5" s="38"/>
      <c r="BV5" s="38"/>
      <c r="BW5" s="37"/>
      <c r="BX5" s="37"/>
      <c r="BY5" s="38"/>
      <c r="BZ5" s="38"/>
      <c r="CA5" s="38"/>
      <c r="CB5" s="38"/>
      <c r="CC5" s="38"/>
      <c r="CD5" s="37"/>
      <c r="CE5" s="37"/>
      <c r="CF5" s="38"/>
      <c r="CG5" s="38"/>
      <c r="CH5" s="38"/>
      <c r="CI5" s="38"/>
      <c r="CJ5" s="38"/>
      <c r="CK5" s="37"/>
      <c r="CL5" s="37"/>
    </row>
    <row r="6" customFormat="false" ht="15.75" hidden="false" customHeight="true" outlineLevel="0" collapsed="false">
      <c r="B6" s="33"/>
      <c r="C6" s="34" t="s">
        <v>72</v>
      </c>
      <c r="D6" s="35" t="s">
        <v>75</v>
      </c>
      <c r="E6" s="34" t="s">
        <v>76</v>
      </c>
      <c r="F6" s="36" t="n">
        <v>46127</v>
      </c>
      <c r="G6" s="38"/>
      <c r="H6" s="38"/>
      <c r="I6" s="38"/>
      <c r="J6" s="31"/>
      <c r="K6" s="31"/>
      <c r="L6" s="37"/>
      <c r="M6" s="37"/>
      <c r="N6" s="31"/>
      <c r="O6" s="31"/>
      <c r="P6" s="31"/>
      <c r="Q6" s="38"/>
      <c r="R6" s="38"/>
      <c r="S6" s="37"/>
      <c r="T6" s="37"/>
      <c r="U6" s="38"/>
      <c r="V6" s="38"/>
      <c r="W6" s="38"/>
      <c r="X6" s="38"/>
      <c r="Y6" s="38"/>
      <c r="Z6" s="37"/>
      <c r="AA6" s="37"/>
      <c r="AB6" s="38"/>
      <c r="AC6" s="38"/>
      <c r="AD6" s="38"/>
      <c r="AE6" s="38"/>
      <c r="AF6" s="38"/>
      <c r="AG6" s="37"/>
      <c r="AH6" s="37"/>
      <c r="AI6" s="38"/>
      <c r="AJ6" s="38"/>
      <c r="AK6" s="38"/>
      <c r="AL6" s="38"/>
      <c r="AM6" s="38"/>
      <c r="AN6" s="37"/>
      <c r="AO6" s="37"/>
      <c r="AP6" s="38"/>
      <c r="AQ6" s="38"/>
      <c r="AR6" s="38"/>
      <c r="AS6" s="38"/>
      <c r="AT6" s="38"/>
      <c r="AU6" s="37"/>
      <c r="AV6" s="37"/>
      <c r="AW6" s="38"/>
      <c r="AX6" s="38"/>
      <c r="AY6" s="38"/>
      <c r="AZ6" s="38"/>
      <c r="BA6" s="38"/>
      <c r="BB6" s="37"/>
      <c r="BC6" s="37"/>
      <c r="BD6" s="38"/>
      <c r="BE6" s="38"/>
      <c r="BF6" s="38"/>
      <c r="BG6" s="38"/>
      <c r="BH6" s="38"/>
      <c r="BI6" s="37"/>
      <c r="BJ6" s="37"/>
      <c r="BK6" s="38"/>
      <c r="BL6" s="38"/>
      <c r="BM6" s="38"/>
      <c r="BN6" s="38"/>
      <c r="BO6" s="38"/>
      <c r="BP6" s="37"/>
      <c r="BQ6" s="37"/>
      <c r="BR6" s="38"/>
      <c r="BS6" s="38"/>
      <c r="BT6" s="38"/>
      <c r="BU6" s="38"/>
      <c r="BV6" s="38"/>
      <c r="BW6" s="37"/>
      <c r="BX6" s="37"/>
      <c r="BY6" s="38"/>
      <c r="BZ6" s="38"/>
      <c r="CA6" s="38"/>
      <c r="CB6" s="38"/>
      <c r="CC6" s="38"/>
      <c r="CD6" s="37"/>
      <c r="CE6" s="37"/>
      <c r="CF6" s="38"/>
      <c r="CG6" s="38"/>
      <c r="CH6" s="38"/>
      <c r="CI6" s="38"/>
      <c r="CJ6" s="38"/>
      <c r="CK6" s="37"/>
      <c r="CL6" s="37"/>
    </row>
    <row r="7" customFormat="false" ht="15.75" hidden="false" customHeight="true" outlineLevel="0" collapsed="false">
      <c r="B7" s="33"/>
      <c r="C7" s="34" t="s">
        <v>77</v>
      </c>
      <c r="D7" s="35" t="s">
        <v>78</v>
      </c>
      <c r="E7" s="34" t="s">
        <v>79</v>
      </c>
      <c r="F7" s="36" t="n">
        <v>46131</v>
      </c>
      <c r="G7" s="38"/>
      <c r="H7" s="38"/>
      <c r="I7" s="38"/>
      <c r="J7" s="39"/>
      <c r="K7" s="38"/>
      <c r="L7" s="37"/>
      <c r="M7" s="37"/>
      <c r="N7" s="38"/>
      <c r="O7" s="31"/>
      <c r="P7" s="31"/>
      <c r="Q7" s="31"/>
      <c r="R7" s="31"/>
      <c r="S7" s="37"/>
      <c r="T7" s="37"/>
      <c r="U7" s="38"/>
      <c r="V7" s="38"/>
      <c r="W7" s="38"/>
      <c r="X7" s="38"/>
      <c r="Y7" s="38"/>
      <c r="Z7" s="37"/>
      <c r="AA7" s="37"/>
      <c r="AB7" s="38"/>
      <c r="AC7" s="38"/>
      <c r="AD7" s="38"/>
      <c r="AE7" s="38"/>
      <c r="AF7" s="38"/>
      <c r="AG7" s="37"/>
      <c r="AH7" s="37"/>
      <c r="AI7" s="38"/>
      <c r="AJ7" s="38"/>
      <c r="AK7" s="38"/>
      <c r="AL7" s="38"/>
      <c r="AM7" s="38"/>
      <c r="AN7" s="37"/>
      <c r="AO7" s="37"/>
      <c r="AP7" s="38"/>
      <c r="AQ7" s="38"/>
      <c r="AR7" s="38"/>
      <c r="AS7" s="38"/>
      <c r="AT7" s="38"/>
      <c r="AU7" s="37"/>
      <c r="AV7" s="37"/>
      <c r="AW7" s="38"/>
      <c r="AX7" s="38"/>
      <c r="AY7" s="38"/>
      <c r="AZ7" s="38"/>
      <c r="BA7" s="38"/>
      <c r="BB7" s="37"/>
      <c r="BC7" s="37"/>
      <c r="BD7" s="38"/>
      <c r="BE7" s="38"/>
      <c r="BF7" s="38"/>
      <c r="BG7" s="38"/>
      <c r="BH7" s="38"/>
      <c r="BI7" s="37"/>
      <c r="BJ7" s="37"/>
      <c r="BK7" s="38"/>
      <c r="BL7" s="38"/>
      <c r="BM7" s="38"/>
      <c r="BN7" s="38"/>
      <c r="BO7" s="38"/>
      <c r="BP7" s="37"/>
      <c r="BQ7" s="37"/>
      <c r="BR7" s="38"/>
      <c r="BS7" s="38"/>
      <c r="BT7" s="38"/>
      <c r="BU7" s="38"/>
      <c r="BV7" s="38"/>
      <c r="BW7" s="37"/>
      <c r="BX7" s="37"/>
      <c r="BY7" s="38"/>
      <c r="BZ7" s="38"/>
      <c r="CA7" s="38"/>
      <c r="CB7" s="38"/>
      <c r="CC7" s="38"/>
      <c r="CD7" s="37"/>
      <c r="CE7" s="37"/>
      <c r="CF7" s="38"/>
      <c r="CG7" s="38"/>
      <c r="CH7" s="38"/>
      <c r="CI7" s="38"/>
      <c r="CJ7" s="38"/>
      <c r="CK7" s="37"/>
      <c r="CL7" s="37"/>
    </row>
    <row r="8" customFormat="false" ht="15.75" hidden="false" customHeight="true" outlineLevel="0" collapsed="false">
      <c r="B8" s="33"/>
      <c r="C8" s="34" t="s">
        <v>77</v>
      </c>
      <c r="D8" s="35" t="s">
        <v>80</v>
      </c>
      <c r="E8" s="34" t="s">
        <v>81</v>
      </c>
      <c r="F8" s="36" t="n">
        <v>46132</v>
      </c>
      <c r="G8" s="38"/>
      <c r="H8" s="38"/>
      <c r="I8" s="38"/>
      <c r="J8" s="39"/>
      <c r="K8" s="38"/>
      <c r="L8" s="37"/>
      <c r="M8" s="37"/>
      <c r="N8" s="38"/>
      <c r="O8" s="38"/>
      <c r="P8" s="38"/>
      <c r="Q8" s="31"/>
      <c r="R8" s="31"/>
      <c r="S8" s="37"/>
      <c r="T8" s="37"/>
      <c r="U8" s="31"/>
      <c r="V8" s="38"/>
      <c r="W8" s="38"/>
      <c r="X8" s="38"/>
      <c r="Y8" s="38"/>
      <c r="Z8" s="37"/>
      <c r="AA8" s="37"/>
      <c r="AB8" s="38"/>
      <c r="AC8" s="38"/>
      <c r="AD8" s="38"/>
      <c r="AE8" s="38"/>
      <c r="AF8" s="38"/>
      <c r="AG8" s="37"/>
      <c r="AH8" s="37"/>
      <c r="AI8" s="38"/>
      <c r="AJ8" s="38"/>
      <c r="AK8" s="38"/>
      <c r="AL8" s="38"/>
      <c r="AM8" s="38"/>
      <c r="AN8" s="37"/>
      <c r="AO8" s="37"/>
      <c r="AP8" s="38"/>
      <c r="AQ8" s="38"/>
      <c r="AR8" s="38"/>
      <c r="AS8" s="38"/>
      <c r="AT8" s="38"/>
      <c r="AU8" s="37"/>
      <c r="AV8" s="37"/>
      <c r="AW8" s="38"/>
      <c r="AX8" s="38"/>
      <c r="AY8" s="38"/>
      <c r="AZ8" s="38"/>
      <c r="BA8" s="38"/>
      <c r="BB8" s="37"/>
      <c r="BC8" s="37"/>
      <c r="BD8" s="38"/>
      <c r="BE8" s="38"/>
      <c r="BF8" s="38"/>
      <c r="BG8" s="38"/>
      <c r="BH8" s="38"/>
      <c r="BI8" s="37"/>
      <c r="BJ8" s="37"/>
      <c r="BK8" s="38"/>
      <c r="BL8" s="38"/>
      <c r="BM8" s="38"/>
      <c r="BN8" s="38"/>
      <c r="BO8" s="38"/>
      <c r="BP8" s="37"/>
      <c r="BQ8" s="37"/>
      <c r="BR8" s="38"/>
      <c r="BS8" s="38"/>
      <c r="BT8" s="38"/>
      <c r="BU8" s="38"/>
      <c r="BV8" s="38"/>
      <c r="BW8" s="37"/>
      <c r="BX8" s="37"/>
      <c r="BY8" s="38"/>
      <c r="BZ8" s="38"/>
      <c r="CA8" s="38"/>
      <c r="CB8" s="38"/>
      <c r="CC8" s="38"/>
      <c r="CD8" s="37"/>
      <c r="CE8" s="37"/>
      <c r="CF8" s="38"/>
      <c r="CG8" s="38"/>
      <c r="CH8" s="38"/>
      <c r="CI8" s="38"/>
      <c r="CJ8" s="38"/>
      <c r="CK8" s="37"/>
      <c r="CL8" s="37"/>
    </row>
    <row r="9" customFormat="false" ht="15.75" hidden="false" customHeight="true" outlineLevel="0" collapsed="false">
      <c r="B9" s="33"/>
      <c r="C9" s="34" t="s">
        <v>82</v>
      </c>
      <c r="D9" s="35" t="s">
        <v>83</v>
      </c>
      <c r="E9" s="34" t="s">
        <v>81</v>
      </c>
      <c r="F9" s="36" t="n">
        <v>46141</v>
      </c>
      <c r="G9" s="38"/>
      <c r="H9" s="38"/>
      <c r="I9" s="38"/>
      <c r="J9" s="39"/>
      <c r="K9" s="38"/>
      <c r="L9" s="37"/>
      <c r="M9" s="37"/>
      <c r="N9" s="38"/>
      <c r="O9" s="38"/>
      <c r="P9" s="38"/>
      <c r="Q9" s="38"/>
      <c r="R9" s="38"/>
      <c r="S9" s="37"/>
      <c r="T9" s="37"/>
      <c r="U9" s="31"/>
      <c r="V9" s="31"/>
      <c r="W9" s="31"/>
      <c r="X9" s="31"/>
      <c r="Y9" s="31"/>
      <c r="Z9" s="37"/>
      <c r="AA9" s="37"/>
      <c r="AB9" s="31"/>
      <c r="AC9" s="31"/>
      <c r="AD9" s="31"/>
      <c r="AE9" s="38"/>
      <c r="AF9" s="38"/>
      <c r="AG9" s="37"/>
      <c r="AH9" s="37"/>
      <c r="AI9" s="38"/>
      <c r="AJ9" s="38"/>
      <c r="AK9" s="38"/>
      <c r="AL9" s="38"/>
      <c r="AM9" s="38"/>
      <c r="AN9" s="37"/>
      <c r="AO9" s="37"/>
      <c r="AP9" s="38"/>
      <c r="AQ9" s="38"/>
      <c r="AR9" s="38"/>
      <c r="AS9" s="38"/>
      <c r="AT9" s="38"/>
      <c r="AU9" s="37"/>
      <c r="AV9" s="37"/>
      <c r="AW9" s="38"/>
      <c r="AX9" s="38"/>
      <c r="AY9" s="38"/>
      <c r="AZ9" s="38"/>
      <c r="BA9" s="38"/>
      <c r="BB9" s="37"/>
      <c r="BC9" s="37"/>
      <c r="BD9" s="38"/>
      <c r="BE9" s="38"/>
      <c r="BF9" s="38"/>
      <c r="BG9" s="38"/>
      <c r="BH9" s="38"/>
      <c r="BI9" s="37"/>
      <c r="BJ9" s="37"/>
      <c r="BK9" s="38"/>
      <c r="BL9" s="38"/>
      <c r="BM9" s="38"/>
      <c r="BN9" s="38"/>
      <c r="BO9" s="38"/>
      <c r="BP9" s="37"/>
      <c r="BQ9" s="37"/>
      <c r="BR9" s="38"/>
      <c r="BS9" s="38"/>
      <c r="BT9" s="38"/>
      <c r="BU9" s="38"/>
      <c r="BV9" s="38"/>
      <c r="BW9" s="37"/>
      <c r="BX9" s="37"/>
      <c r="BY9" s="38"/>
      <c r="BZ9" s="38"/>
      <c r="CA9" s="38"/>
      <c r="CB9" s="38"/>
      <c r="CC9" s="38"/>
      <c r="CD9" s="37"/>
      <c r="CE9" s="37"/>
      <c r="CF9" s="38"/>
      <c r="CG9" s="38"/>
      <c r="CH9" s="38"/>
      <c r="CI9" s="38"/>
      <c r="CJ9" s="38"/>
      <c r="CK9" s="37"/>
      <c r="CL9" s="37"/>
    </row>
    <row r="10" customFormat="false" ht="15.75" hidden="false" customHeight="true" outlineLevel="0" collapsed="false">
      <c r="B10" s="33"/>
      <c r="C10" s="34" t="s">
        <v>82</v>
      </c>
      <c r="D10" s="35" t="s">
        <v>84</v>
      </c>
      <c r="E10" s="34" t="s">
        <v>81</v>
      </c>
      <c r="F10" s="36" t="n">
        <v>46143</v>
      </c>
      <c r="G10" s="38"/>
      <c r="H10" s="38"/>
      <c r="I10" s="38"/>
      <c r="J10" s="39"/>
      <c r="K10" s="38"/>
      <c r="L10" s="37"/>
      <c r="M10" s="37"/>
      <c r="N10" s="38"/>
      <c r="O10" s="38"/>
      <c r="P10" s="38"/>
      <c r="Q10" s="38"/>
      <c r="R10" s="38"/>
      <c r="S10" s="37"/>
      <c r="T10" s="37"/>
      <c r="U10" s="38"/>
      <c r="V10" s="38"/>
      <c r="W10" s="38"/>
      <c r="X10" s="38"/>
      <c r="Y10" s="31"/>
      <c r="Z10" s="37"/>
      <c r="AA10" s="37"/>
      <c r="AB10" s="31"/>
      <c r="AC10" s="31"/>
      <c r="AD10" s="31"/>
      <c r="AE10" s="31"/>
      <c r="AF10" s="31"/>
      <c r="AG10" s="37"/>
      <c r="AH10" s="37"/>
      <c r="AI10" s="38"/>
      <c r="AJ10" s="38"/>
      <c r="AK10" s="38"/>
      <c r="AL10" s="38"/>
      <c r="AM10" s="38"/>
      <c r="AN10" s="37"/>
      <c r="AO10" s="37"/>
      <c r="AP10" s="38"/>
      <c r="AQ10" s="38"/>
      <c r="AR10" s="38"/>
      <c r="AS10" s="38"/>
      <c r="AT10" s="38"/>
      <c r="AU10" s="37"/>
      <c r="AV10" s="37"/>
      <c r="AW10" s="38"/>
      <c r="AX10" s="38"/>
      <c r="AY10" s="38"/>
      <c r="AZ10" s="38"/>
      <c r="BA10" s="38"/>
      <c r="BB10" s="37"/>
      <c r="BC10" s="37"/>
      <c r="BD10" s="38"/>
      <c r="BE10" s="38"/>
      <c r="BF10" s="38"/>
      <c r="BG10" s="38"/>
      <c r="BH10" s="38"/>
      <c r="BI10" s="37"/>
      <c r="BJ10" s="37"/>
      <c r="BK10" s="38"/>
      <c r="BL10" s="38"/>
      <c r="BM10" s="38"/>
      <c r="BN10" s="38"/>
      <c r="BO10" s="38"/>
      <c r="BP10" s="37"/>
      <c r="BQ10" s="37"/>
      <c r="BR10" s="38"/>
      <c r="BS10" s="38"/>
      <c r="BT10" s="38"/>
      <c r="BU10" s="38"/>
      <c r="BV10" s="38"/>
      <c r="BW10" s="37"/>
      <c r="BX10" s="37"/>
      <c r="BY10" s="38"/>
      <c r="BZ10" s="38"/>
      <c r="CA10" s="38"/>
      <c r="CB10" s="38"/>
      <c r="CC10" s="38"/>
      <c r="CD10" s="37"/>
      <c r="CE10" s="37"/>
      <c r="CF10" s="38"/>
      <c r="CG10" s="38"/>
      <c r="CH10" s="38"/>
      <c r="CI10" s="38"/>
      <c r="CJ10" s="38"/>
      <c r="CK10" s="37"/>
      <c r="CL10" s="37"/>
    </row>
    <row r="11" customFormat="false" ht="15.75" hidden="false" customHeight="true" outlineLevel="0" collapsed="false">
      <c r="B11" s="33"/>
      <c r="C11" s="34" t="s">
        <v>85</v>
      </c>
      <c r="D11" s="35" t="s">
        <v>86</v>
      </c>
      <c r="E11" s="34" t="s">
        <v>87</v>
      </c>
      <c r="F11" s="36" t="n">
        <v>46150</v>
      </c>
      <c r="G11" s="38"/>
      <c r="H11" s="38"/>
      <c r="I11" s="38"/>
      <c r="J11" s="39"/>
      <c r="K11" s="38"/>
      <c r="L11" s="37"/>
      <c r="M11" s="37"/>
      <c r="N11" s="38"/>
      <c r="O11" s="38"/>
      <c r="P11" s="38"/>
      <c r="Q11" s="38"/>
      <c r="R11" s="38"/>
      <c r="S11" s="37"/>
      <c r="T11" s="37"/>
      <c r="U11" s="38"/>
      <c r="V11" s="38"/>
      <c r="W11" s="38"/>
      <c r="X11" s="38"/>
      <c r="Y11" s="38"/>
      <c r="Z11" s="37"/>
      <c r="AA11" s="37"/>
      <c r="AB11" s="38"/>
      <c r="AC11" s="38"/>
      <c r="AD11" s="38"/>
      <c r="AE11" s="38"/>
      <c r="AF11" s="38"/>
      <c r="AG11" s="37"/>
      <c r="AH11" s="37"/>
      <c r="AI11" s="31"/>
      <c r="AJ11" s="31"/>
      <c r="AK11" s="31"/>
      <c r="AL11" s="31"/>
      <c r="AM11" s="31"/>
      <c r="AN11" s="37"/>
      <c r="AO11" s="37"/>
      <c r="AP11" s="38"/>
      <c r="AQ11" s="38"/>
      <c r="AR11" s="38"/>
      <c r="AS11" s="38"/>
      <c r="AT11" s="38"/>
      <c r="AU11" s="37"/>
      <c r="AV11" s="37"/>
      <c r="AW11" s="38"/>
      <c r="AX11" s="38"/>
      <c r="AY11" s="38"/>
      <c r="AZ11" s="38"/>
      <c r="BA11" s="38"/>
      <c r="BB11" s="37"/>
      <c r="BC11" s="37"/>
      <c r="BD11" s="38"/>
      <c r="BE11" s="38"/>
      <c r="BF11" s="38"/>
      <c r="BG11" s="38"/>
      <c r="BH11" s="38"/>
      <c r="BI11" s="37"/>
      <c r="BJ11" s="37"/>
      <c r="BK11" s="38"/>
      <c r="BL11" s="38"/>
      <c r="BM11" s="38"/>
      <c r="BN11" s="38"/>
      <c r="BO11" s="38"/>
      <c r="BP11" s="37"/>
      <c r="BQ11" s="37"/>
      <c r="BR11" s="38"/>
      <c r="BS11" s="38"/>
      <c r="BT11" s="38"/>
      <c r="BU11" s="38"/>
      <c r="BV11" s="38"/>
      <c r="BW11" s="37"/>
      <c r="BX11" s="37"/>
      <c r="BY11" s="38"/>
      <c r="BZ11" s="38"/>
      <c r="CA11" s="38"/>
      <c r="CB11" s="38"/>
      <c r="CC11" s="38"/>
      <c r="CD11" s="37"/>
      <c r="CE11" s="37"/>
      <c r="CF11" s="38"/>
      <c r="CG11" s="38"/>
      <c r="CH11" s="38"/>
      <c r="CI11" s="38"/>
      <c r="CJ11" s="38"/>
      <c r="CK11" s="37"/>
      <c r="CL11" s="37"/>
    </row>
    <row r="12" customFormat="false" ht="15.75" hidden="false" customHeight="true" outlineLevel="0" collapsed="false">
      <c r="B12" s="33"/>
      <c r="C12" s="34" t="s">
        <v>88</v>
      </c>
      <c r="D12" s="35" t="s">
        <v>89</v>
      </c>
      <c r="E12" s="34" t="s">
        <v>74</v>
      </c>
      <c r="F12" s="36" t="n">
        <v>46155</v>
      </c>
      <c r="G12" s="38"/>
      <c r="H12" s="38"/>
      <c r="I12" s="38"/>
      <c r="J12" s="39"/>
      <c r="K12" s="38"/>
      <c r="L12" s="37"/>
      <c r="M12" s="37"/>
      <c r="N12" s="38"/>
      <c r="O12" s="38"/>
      <c r="P12" s="38"/>
      <c r="Q12" s="38"/>
      <c r="R12" s="38"/>
      <c r="S12" s="37"/>
      <c r="T12" s="37"/>
      <c r="U12" s="38"/>
      <c r="V12" s="38"/>
      <c r="W12" s="38"/>
      <c r="X12" s="38"/>
      <c r="Y12" s="38"/>
      <c r="Z12" s="37"/>
      <c r="AA12" s="37"/>
      <c r="AB12" s="38"/>
      <c r="AC12" s="38"/>
      <c r="AD12" s="38"/>
      <c r="AE12" s="38"/>
      <c r="AF12" s="38"/>
      <c r="AG12" s="37"/>
      <c r="AH12" s="37"/>
      <c r="AI12" s="38"/>
      <c r="AJ12" s="38"/>
      <c r="AK12" s="38"/>
      <c r="AL12" s="38"/>
      <c r="AM12" s="38"/>
      <c r="AN12" s="37"/>
      <c r="AO12" s="37"/>
      <c r="AP12" s="31"/>
      <c r="AQ12" s="31"/>
      <c r="AR12" s="31"/>
      <c r="AS12" s="38"/>
      <c r="AT12" s="38"/>
      <c r="AU12" s="37"/>
      <c r="AV12" s="37"/>
      <c r="AW12" s="38"/>
      <c r="AX12" s="38"/>
      <c r="AY12" s="38"/>
      <c r="AZ12" s="38"/>
      <c r="BA12" s="38"/>
      <c r="BB12" s="37"/>
      <c r="BC12" s="37"/>
      <c r="BD12" s="38"/>
      <c r="BE12" s="38"/>
      <c r="BF12" s="38"/>
      <c r="BG12" s="38"/>
      <c r="BH12" s="38"/>
      <c r="BI12" s="37"/>
      <c r="BJ12" s="37"/>
      <c r="BK12" s="38"/>
      <c r="BL12" s="38"/>
      <c r="BM12" s="38"/>
      <c r="BN12" s="38"/>
      <c r="BO12" s="38"/>
      <c r="BP12" s="37"/>
      <c r="BQ12" s="37"/>
      <c r="BR12" s="38"/>
      <c r="BS12" s="38"/>
      <c r="BT12" s="38"/>
      <c r="BU12" s="38"/>
      <c r="BV12" s="38"/>
      <c r="BW12" s="37"/>
      <c r="BX12" s="37"/>
      <c r="BY12" s="38"/>
      <c r="BZ12" s="38"/>
      <c r="CA12" s="38"/>
      <c r="CB12" s="38"/>
      <c r="CC12" s="38"/>
      <c r="CD12" s="37"/>
      <c r="CE12" s="37"/>
      <c r="CF12" s="38"/>
      <c r="CG12" s="38"/>
      <c r="CH12" s="38"/>
      <c r="CI12" s="38"/>
      <c r="CJ12" s="38"/>
      <c r="CK12" s="37"/>
      <c r="CL12" s="37"/>
    </row>
    <row r="13" customFormat="false" ht="19.5" hidden="false" customHeight="true" outlineLevel="0" collapsed="false">
      <c r="B13" s="40" t="s">
        <v>90</v>
      </c>
      <c r="C13" s="40"/>
      <c r="D13" s="40"/>
      <c r="E13" s="40"/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42"/>
      <c r="BU13" s="42"/>
      <c r="BV13" s="42"/>
      <c r="BW13" s="42"/>
      <c r="BX13" s="42"/>
      <c r="BY13" s="42"/>
      <c r="BZ13" s="42"/>
      <c r="CA13" s="42"/>
      <c r="CB13" s="42"/>
      <c r="CC13" s="42"/>
      <c r="CD13" s="42"/>
      <c r="CE13" s="42"/>
      <c r="CF13" s="42"/>
      <c r="CG13" s="42"/>
      <c r="CH13" s="42"/>
      <c r="CI13" s="42"/>
      <c r="CJ13" s="42"/>
      <c r="CK13" s="42"/>
      <c r="CL13" s="42"/>
    </row>
    <row r="14" customFormat="false" ht="15.75" hidden="false" customHeight="true" outlineLevel="0" collapsed="false">
      <c r="B14" s="43"/>
      <c r="C14" s="44" t="s">
        <v>91</v>
      </c>
      <c r="D14" s="45" t="s">
        <v>92</v>
      </c>
      <c r="E14" s="44" t="s">
        <v>74</v>
      </c>
      <c r="F14" s="46" t="n">
        <v>46123</v>
      </c>
      <c r="G14" s="47"/>
      <c r="H14" s="47"/>
      <c r="I14" s="41"/>
      <c r="J14" s="41"/>
      <c r="K14" s="41"/>
      <c r="L14" s="37"/>
      <c r="M14" s="37"/>
      <c r="N14" s="47"/>
      <c r="O14" s="47"/>
      <c r="P14" s="47"/>
      <c r="Q14" s="47"/>
      <c r="R14" s="47"/>
      <c r="S14" s="37"/>
      <c r="T14" s="37"/>
      <c r="U14" s="47"/>
      <c r="V14" s="47"/>
      <c r="W14" s="47"/>
      <c r="X14" s="47"/>
      <c r="Y14" s="47"/>
      <c r="Z14" s="37"/>
      <c r="AA14" s="37"/>
      <c r="AB14" s="47"/>
      <c r="AC14" s="47"/>
      <c r="AD14" s="47"/>
      <c r="AE14" s="47"/>
      <c r="AF14" s="47"/>
      <c r="AG14" s="37"/>
      <c r="AH14" s="37"/>
      <c r="AI14" s="47"/>
      <c r="AJ14" s="47"/>
      <c r="AK14" s="47"/>
      <c r="AL14" s="47"/>
      <c r="AM14" s="47"/>
      <c r="AN14" s="37"/>
      <c r="AO14" s="37"/>
      <c r="AP14" s="47"/>
      <c r="AQ14" s="47"/>
      <c r="AR14" s="47"/>
      <c r="AS14" s="47"/>
      <c r="AT14" s="47"/>
      <c r="AU14" s="37"/>
      <c r="AV14" s="37"/>
      <c r="AW14" s="47"/>
      <c r="AX14" s="47"/>
      <c r="AY14" s="47"/>
      <c r="AZ14" s="47"/>
      <c r="BA14" s="47"/>
      <c r="BB14" s="37"/>
      <c r="BC14" s="37"/>
      <c r="BD14" s="47"/>
      <c r="BE14" s="47"/>
      <c r="BF14" s="47"/>
      <c r="BG14" s="47"/>
      <c r="BH14" s="47"/>
      <c r="BI14" s="37"/>
      <c r="BJ14" s="37"/>
      <c r="BK14" s="47"/>
      <c r="BL14" s="47"/>
      <c r="BM14" s="47"/>
      <c r="BN14" s="47"/>
      <c r="BO14" s="47"/>
      <c r="BP14" s="37"/>
      <c r="BQ14" s="37"/>
      <c r="BR14" s="47"/>
      <c r="BS14" s="47"/>
      <c r="BT14" s="47"/>
      <c r="BU14" s="47"/>
      <c r="BV14" s="47"/>
      <c r="BW14" s="37"/>
      <c r="BX14" s="37"/>
      <c r="BY14" s="47"/>
      <c r="BZ14" s="47"/>
      <c r="CA14" s="47"/>
      <c r="CB14" s="47"/>
      <c r="CC14" s="47"/>
      <c r="CD14" s="37"/>
      <c r="CE14" s="37"/>
      <c r="CF14" s="47"/>
      <c r="CG14" s="47"/>
      <c r="CH14" s="47"/>
      <c r="CI14" s="47"/>
      <c r="CJ14" s="47"/>
      <c r="CK14" s="37"/>
      <c r="CL14" s="37"/>
    </row>
    <row r="15" customFormat="false" ht="15.75" hidden="false" customHeight="true" outlineLevel="0" collapsed="false">
      <c r="B15" s="43"/>
      <c r="C15" s="44" t="s">
        <v>91</v>
      </c>
      <c r="D15" s="45" t="s">
        <v>93</v>
      </c>
      <c r="E15" s="44" t="s">
        <v>94</v>
      </c>
      <c r="F15" s="46" t="n">
        <v>46127</v>
      </c>
      <c r="G15" s="47"/>
      <c r="H15" s="47"/>
      <c r="I15" s="47"/>
      <c r="J15" s="39"/>
      <c r="K15" s="41"/>
      <c r="L15" s="37"/>
      <c r="M15" s="37"/>
      <c r="N15" s="41"/>
      <c r="O15" s="41"/>
      <c r="P15" s="41"/>
      <c r="Q15" s="47"/>
      <c r="R15" s="47"/>
      <c r="S15" s="37"/>
      <c r="T15" s="37"/>
      <c r="U15" s="47"/>
      <c r="V15" s="47"/>
      <c r="W15" s="47"/>
      <c r="X15" s="47"/>
      <c r="Y15" s="47"/>
      <c r="Z15" s="37"/>
      <c r="AA15" s="37"/>
      <c r="AB15" s="47"/>
      <c r="AC15" s="47"/>
      <c r="AD15" s="47"/>
      <c r="AE15" s="47"/>
      <c r="AF15" s="47"/>
      <c r="AG15" s="37"/>
      <c r="AH15" s="37"/>
      <c r="AI15" s="47"/>
      <c r="AJ15" s="47"/>
      <c r="AK15" s="47"/>
      <c r="AL15" s="47"/>
      <c r="AM15" s="47"/>
      <c r="AN15" s="37"/>
      <c r="AO15" s="37"/>
      <c r="AP15" s="47"/>
      <c r="AQ15" s="47"/>
      <c r="AR15" s="47"/>
      <c r="AS15" s="47"/>
      <c r="AT15" s="47"/>
      <c r="AU15" s="37"/>
      <c r="AV15" s="37"/>
      <c r="AW15" s="47"/>
      <c r="AX15" s="47"/>
      <c r="AY15" s="47"/>
      <c r="AZ15" s="47"/>
      <c r="BA15" s="47"/>
      <c r="BB15" s="37"/>
      <c r="BC15" s="37"/>
      <c r="BD15" s="47"/>
      <c r="BE15" s="47"/>
      <c r="BF15" s="47"/>
      <c r="BG15" s="47"/>
      <c r="BH15" s="47"/>
      <c r="BI15" s="37"/>
      <c r="BJ15" s="37"/>
      <c r="BK15" s="47"/>
      <c r="BL15" s="47"/>
      <c r="BM15" s="47"/>
      <c r="BN15" s="47"/>
      <c r="BO15" s="47"/>
      <c r="BP15" s="37"/>
      <c r="BQ15" s="37"/>
      <c r="BR15" s="47"/>
      <c r="BS15" s="47"/>
      <c r="BT15" s="47"/>
      <c r="BU15" s="47"/>
      <c r="BV15" s="47"/>
      <c r="BW15" s="37"/>
      <c r="BX15" s="37"/>
      <c r="BY15" s="47"/>
      <c r="BZ15" s="47"/>
      <c r="CA15" s="47"/>
      <c r="CB15" s="47"/>
      <c r="CC15" s="47"/>
      <c r="CD15" s="37"/>
      <c r="CE15" s="37"/>
      <c r="CF15" s="47"/>
      <c r="CG15" s="47"/>
      <c r="CH15" s="47"/>
      <c r="CI15" s="47"/>
      <c r="CJ15" s="47"/>
      <c r="CK15" s="37"/>
      <c r="CL15" s="37"/>
    </row>
    <row r="16" customFormat="false" ht="15.75" hidden="false" customHeight="true" outlineLevel="0" collapsed="false">
      <c r="B16" s="43"/>
      <c r="C16" s="44" t="s">
        <v>95</v>
      </c>
      <c r="D16" s="45" t="s">
        <v>96</v>
      </c>
      <c r="E16" s="44" t="s">
        <v>81</v>
      </c>
      <c r="F16" s="46" t="n">
        <v>46138</v>
      </c>
      <c r="G16" s="47"/>
      <c r="H16" s="47"/>
      <c r="I16" s="47"/>
      <c r="J16" s="39"/>
      <c r="K16" s="47"/>
      <c r="L16" s="37"/>
      <c r="M16" s="37"/>
      <c r="N16" s="47"/>
      <c r="O16" s="47"/>
      <c r="P16" s="41"/>
      <c r="Q16" s="41"/>
      <c r="R16" s="41"/>
      <c r="S16" s="37"/>
      <c r="T16" s="37"/>
      <c r="U16" s="41"/>
      <c r="V16" s="41"/>
      <c r="W16" s="41"/>
      <c r="X16" s="41"/>
      <c r="Y16" s="41"/>
      <c r="Z16" s="37"/>
      <c r="AA16" s="37"/>
      <c r="AB16" s="47"/>
      <c r="AC16" s="47"/>
      <c r="AD16" s="47"/>
      <c r="AE16" s="47"/>
      <c r="AF16" s="47"/>
      <c r="AG16" s="37"/>
      <c r="AH16" s="37"/>
      <c r="AI16" s="47"/>
      <c r="AJ16" s="47"/>
      <c r="AK16" s="47"/>
      <c r="AL16" s="47"/>
      <c r="AM16" s="47"/>
      <c r="AN16" s="37"/>
      <c r="AO16" s="37"/>
      <c r="AP16" s="47"/>
      <c r="AQ16" s="47"/>
      <c r="AR16" s="47"/>
      <c r="AS16" s="47"/>
      <c r="AT16" s="47"/>
      <c r="AU16" s="37"/>
      <c r="AV16" s="37"/>
      <c r="AW16" s="47"/>
      <c r="AX16" s="47"/>
      <c r="AY16" s="47"/>
      <c r="AZ16" s="47"/>
      <c r="BA16" s="47"/>
      <c r="BB16" s="37"/>
      <c r="BC16" s="37"/>
      <c r="BD16" s="47"/>
      <c r="BE16" s="47"/>
      <c r="BF16" s="47"/>
      <c r="BG16" s="47"/>
      <c r="BH16" s="47"/>
      <c r="BI16" s="37"/>
      <c r="BJ16" s="37"/>
      <c r="BK16" s="47"/>
      <c r="BL16" s="47"/>
      <c r="BM16" s="47"/>
      <c r="BN16" s="47"/>
      <c r="BO16" s="47"/>
      <c r="BP16" s="37"/>
      <c r="BQ16" s="37"/>
      <c r="BR16" s="47"/>
      <c r="BS16" s="47"/>
      <c r="BT16" s="47"/>
      <c r="BU16" s="47"/>
      <c r="BV16" s="47"/>
      <c r="BW16" s="37"/>
      <c r="BX16" s="37"/>
      <c r="BY16" s="47"/>
      <c r="BZ16" s="47"/>
      <c r="CA16" s="47"/>
      <c r="CB16" s="47"/>
      <c r="CC16" s="47"/>
      <c r="CD16" s="37"/>
      <c r="CE16" s="37"/>
      <c r="CF16" s="47"/>
      <c r="CG16" s="47"/>
      <c r="CH16" s="47"/>
      <c r="CI16" s="47"/>
      <c r="CJ16" s="47"/>
      <c r="CK16" s="37"/>
      <c r="CL16" s="37"/>
    </row>
    <row r="17" customFormat="false" ht="15.75" hidden="false" customHeight="true" outlineLevel="0" collapsed="false">
      <c r="B17" s="43"/>
      <c r="C17" s="44" t="s">
        <v>95</v>
      </c>
      <c r="D17" s="45" t="s">
        <v>97</v>
      </c>
      <c r="E17" s="44" t="s">
        <v>81</v>
      </c>
      <c r="F17" s="46" t="n">
        <v>46137</v>
      </c>
      <c r="G17" s="47"/>
      <c r="H17" s="47"/>
      <c r="I17" s="47"/>
      <c r="J17" s="39"/>
      <c r="K17" s="47"/>
      <c r="L17" s="37"/>
      <c r="M17" s="37"/>
      <c r="N17" s="47"/>
      <c r="O17" s="47"/>
      <c r="P17" s="47"/>
      <c r="Q17" s="47"/>
      <c r="R17" s="47"/>
      <c r="S17" s="37"/>
      <c r="T17" s="37"/>
      <c r="U17" s="41"/>
      <c r="V17" s="41"/>
      <c r="W17" s="41"/>
      <c r="X17" s="41"/>
      <c r="Y17" s="41"/>
      <c r="Z17" s="37"/>
      <c r="AA17" s="37"/>
      <c r="AB17" s="47"/>
      <c r="AC17" s="47"/>
      <c r="AD17" s="47"/>
      <c r="AE17" s="47"/>
      <c r="AF17" s="47"/>
      <c r="AG17" s="37"/>
      <c r="AH17" s="37"/>
      <c r="AI17" s="47"/>
      <c r="AJ17" s="47"/>
      <c r="AK17" s="47"/>
      <c r="AL17" s="47"/>
      <c r="AM17" s="47"/>
      <c r="AN17" s="37"/>
      <c r="AO17" s="37"/>
      <c r="AP17" s="47"/>
      <c r="AQ17" s="47"/>
      <c r="AR17" s="47"/>
      <c r="AS17" s="47"/>
      <c r="AT17" s="47"/>
      <c r="AU17" s="37"/>
      <c r="AV17" s="37"/>
      <c r="AW17" s="47"/>
      <c r="AX17" s="47"/>
      <c r="AY17" s="47"/>
      <c r="AZ17" s="47"/>
      <c r="BA17" s="47"/>
      <c r="BB17" s="37"/>
      <c r="BC17" s="37"/>
      <c r="BD17" s="47"/>
      <c r="BE17" s="47"/>
      <c r="BF17" s="47"/>
      <c r="BG17" s="47"/>
      <c r="BH17" s="47"/>
      <c r="BI17" s="37"/>
      <c r="BJ17" s="37"/>
      <c r="BK17" s="47"/>
      <c r="BL17" s="47"/>
      <c r="BM17" s="47"/>
      <c r="BN17" s="47"/>
      <c r="BO17" s="47"/>
      <c r="BP17" s="37"/>
      <c r="BQ17" s="37"/>
      <c r="BR17" s="47"/>
      <c r="BS17" s="47"/>
      <c r="BT17" s="47"/>
      <c r="BU17" s="47"/>
      <c r="BV17" s="47"/>
      <c r="BW17" s="37"/>
      <c r="BX17" s="37"/>
      <c r="BY17" s="47"/>
      <c r="BZ17" s="47"/>
      <c r="CA17" s="47"/>
      <c r="CB17" s="47"/>
      <c r="CC17" s="47"/>
      <c r="CD17" s="37"/>
      <c r="CE17" s="37"/>
      <c r="CF17" s="47"/>
      <c r="CG17" s="47"/>
      <c r="CH17" s="47"/>
      <c r="CI17" s="47"/>
      <c r="CJ17" s="47"/>
      <c r="CK17" s="37"/>
      <c r="CL17" s="37"/>
    </row>
    <row r="18" customFormat="false" ht="15.75" hidden="false" customHeight="true" outlineLevel="0" collapsed="false">
      <c r="B18" s="43"/>
      <c r="C18" s="44" t="s">
        <v>98</v>
      </c>
      <c r="D18" s="45" t="s">
        <v>99</v>
      </c>
      <c r="E18" s="44" t="s">
        <v>100</v>
      </c>
      <c r="F18" s="46" t="n">
        <v>46144</v>
      </c>
      <c r="G18" s="47"/>
      <c r="H18" s="47"/>
      <c r="I18" s="47"/>
      <c r="J18" s="39"/>
      <c r="K18" s="47"/>
      <c r="L18" s="37"/>
      <c r="M18" s="37"/>
      <c r="N18" s="47"/>
      <c r="O18" s="47"/>
      <c r="P18" s="47"/>
      <c r="Q18" s="47"/>
      <c r="R18" s="47"/>
      <c r="S18" s="37"/>
      <c r="T18" s="37"/>
      <c r="U18" s="47"/>
      <c r="V18" s="47"/>
      <c r="W18" s="47"/>
      <c r="X18" s="47"/>
      <c r="Y18" s="47"/>
      <c r="Z18" s="37"/>
      <c r="AA18" s="37"/>
      <c r="AB18" s="41"/>
      <c r="AC18" s="41"/>
      <c r="AD18" s="41"/>
      <c r="AE18" s="41"/>
      <c r="AF18" s="41"/>
      <c r="AG18" s="37"/>
      <c r="AH18" s="37"/>
      <c r="AI18" s="47"/>
      <c r="AJ18" s="47"/>
      <c r="AK18" s="47"/>
      <c r="AL18" s="47"/>
      <c r="AM18" s="47"/>
      <c r="AN18" s="37"/>
      <c r="AO18" s="37"/>
      <c r="AP18" s="47"/>
      <c r="AQ18" s="47"/>
      <c r="AR18" s="47"/>
      <c r="AS18" s="47"/>
      <c r="AT18" s="47"/>
      <c r="AU18" s="37"/>
      <c r="AV18" s="37"/>
      <c r="AW18" s="47"/>
      <c r="AX18" s="47"/>
      <c r="AY18" s="47"/>
      <c r="AZ18" s="47"/>
      <c r="BA18" s="47"/>
      <c r="BB18" s="37"/>
      <c r="BC18" s="37"/>
      <c r="BD18" s="47"/>
      <c r="BE18" s="47"/>
      <c r="BF18" s="47"/>
      <c r="BG18" s="47"/>
      <c r="BH18" s="47"/>
      <c r="BI18" s="37"/>
      <c r="BJ18" s="37"/>
      <c r="BK18" s="47"/>
      <c r="BL18" s="47"/>
      <c r="BM18" s="47"/>
      <c r="BN18" s="47"/>
      <c r="BO18" s="47"/>
      <c r="BP18" s="37"/>
      <c r="BQ18" s="37"/>
      <c r="BR18" s="47"/>
      <c r="BS18" s="47"/>
      <c r="BT18" s="47"/>
      <c r="BU18" s="47"/>
      <c r="BV18" s="47"/>
      <c r="BW18" s="37"/>
      <c r="BX18" s="37"/>
      <c r="BY18" s="47"/>
      <c r="BZ18" s="47"/>
      <c r="CA18" s="47"/>
      <c r="CB18" s="47"/>
      <c r="CC18" s="47"/>
      <c r="CD18" s="37"/>
      <c r="CE18" s="37"/>
      <c r="CF18" s="47"/>
      <c r="CG18" s="47"/>
      <c r="CH18" s="47"/>
      <c r="CI18" s="47"/>
      <c r="CJ18" s="47"/>
      <c r="CK18" s="37"/>
      <c r="CL18" s="37"/>
    </row>
    <row r="19" customFormat="false" ht="15.75" hidden="false" customHeight="true" outlineLevel="0" collapsed="false">
      <c r="B19" s="43"/>
      <c r="C19" s="44" t="s">
        <v>85</v>
      </c>
      <c r="D19" s="45" t="s">
        <v>101</v>
      </c>
      <c r="E19" s="44" t="s">
        <v>100</v>
      </c>
      <c r="F19" s="46" t="n">
        <v>46150</v>
      </c>
      <c r="G19" s="47"/>
      <c r="H19" s="47"/>
      <c r="I19" s="47"/>
      <c r="J19" s="39"/>
      <c r="K19" s="47"/>
      <c r="L19" s="37"/>
      <c r="M19" s="37"/>
      <c r="N19" s="47"/>
      <c r="O19" s="47"/>
      <c r="P19" s="47"/>
      <c r="Q19" s="47"/>
      <c r="R19" s="47"/>
      <c r="S19" s="37"/>
      <c r="T19" s="37"/>
      <c r="U19" s="47"/>
      <c r="V19" s="47"/>
      <c r="W19" s="47"/>
      <c r="X19" s="47"/>
      <c r="Y19" s="47"/>
      <c r="Z19" s="37"/>
      <c r="AA19" s="37"/>
      <c r="AB19" s="47"/>
      <c r="AC19" s="47"/>
      <c r="AD19" s="47"/>
      <c r="AE19" s="47"/>
      <c r="AF19" s="41"/>
      <c r="AG19" s="37"/>
      <c r="AH19" s="37"/>
      <c r="AI19" s="41"/>
      <c r="AJ19" s="41"/>
      <c r="AK19" s="41"/>
      <c r="AL19" s="41"/>
      <c r="AM19" s="41"/>
      <c r="AN19" s="37"/>
      <c r="AO19" s="37"/>
      <c r="AP19" s="47"/>
      <c r="AQ19" s="47"/>
      <c r="AR19" s="47"/>
      <c r="AS19" s="47"/>
      <c r="AT19" s="47"/>
      <c r="AU19" s="37"/>
      <c r="AV19" s="37"/>
      <c r="AW19" s="47"/>
      <c r="AX19" s="47"/>
      <c r="AY19" s="47"/>
      <c r="AZ19" s="47"/>
      <c r="BA19" s="47"/>
      <c r="BB19" s="37"/>
      <c r="BC19" s="37"/>
      <c r="BD19" s="47"/>
      <c r="BE19" s="47"/>
      <c r="BF19" s="47"/>
      <c r="BG19" s="47"/>
      <c r="BH19" s="47"/>
      <c r="BI19" s="37"/>
      <c r="BJ19" s="37"/>
      <c r="BK19" s="47"/>
      <c r="BL19" s="47"/>
      <c r="BM19" s="47"/>
      <c r="BN19" s="47"/>
      <c r="BO19" s="47"/>
      <c r="BP19" s="37"/>
      <c r="BQ19" s="37"/>
      <c r="BR19" s="47"/>
      <c r="BS19" s="47"/>
      <c r="BT19" s="47"/>
      <c r="BU19" s="47"/>
      <c r="BV19" s="47"/>
      <c r="BW19" s="37"/>
      <c r="BX19" s="37"/>
      <c r="BY19" s="47"/>
      <c r="BZ19" s="47"/>
      <c r="CA19" s="47"/>
      <c r="CB19" s="47"/>
      <c r="CC19" s="47"/>
      <c r="CD19" s="37"/>
      <c r="CE19" s="37"/>
      <c r="CF19" s="47"/>
      <c r="CG19" s="47"/>
      <c r="CH19" s="47"/>
      <c r="CI19" s="47"/>
      <c r="CJ19" s="47"/>
      <c r="CK19" s="37"/>
      <c r="CL19" s="37"/>
    </row>
    <row r="20" customFormat="false" ht="15.75" hidden="false" customHeight="true" outlineLevel="0" collapsed="false">
      <c r="B20" s="43"/>
      <c r="C20" s="44" t="s">
        <v>88</v>
      </c>
      <c r="D20" s="45" t="s">
        <v>102</v>
      </c>
      <c r="E20" s="44" t="s">
        <v>103</v>
      </c>
      <c r="F20" s="46" t="n">
        <v>46156</v>
      </c>
      <c r="G20" s="47"/>
      <c r="H20" s="47"/>
      <c r="I20" s="47"/>
      <c r="J20" s="39"/>
      <c r="K20" s="47"/>
      <c r="L20" s="37"/>
      <c r="M20" s="37"/>
      <c r="N20" s="47"/>
      <c r="O20" s="47"/>
      <c r="P20" s="47"/>
      <c r="Q20" s="47"/>
      <c r="R20" s="47"/>
      <c r="S20" s="37"/>
      <c r="T20" s="37"/>
      <c r="U20" s="47"/>
      <c r="V20" s="47"/>
      <c r="W20" s="47"/>
      <c r="X20" s="47"/>
      <c r="Y20" s="47"/>
      <c r="Z20" s="37"/>
      <c r="AA20" s="37"/>
      <c r="AB20" s="47"/>
      <c r="AC20" s="47"/>
      <c r="AD20" s="47"/>
      <c r="AE20" s="47"/>
      <c r="AF20" s="47"/>
      <c r="AG20" s="37"/>
      <c r="AH20" s="37"/>
      <c r="AI20" s="47"/>
      <c r="AJ20" s="47"/>
      <c r="AK20" s="47"/>
      <c r="AL20" s="47"/>
      <c r="AM20" s="47"/>
      <c r="AN20" s="37"/>
      <c r="AO20" s="37"/>
      <c r="AP20" s="41"/>
      <c r="AQ20" s="41"/>
      <c r="AR20" s="41"/>
      <c r="AS20" s="41"/>
      <c r="AT20" s="47"/>
      <c r="AU20" s="37"/>
      <c r="AV20" s="37"/>
      <c r="AW20" s="47"/>
      <c r="AX20" s="47"/>
      <c r="AY20" s="47"/>
      <c r="AZ20" s="47"/>
      <c r="BA20" s="47"/>
      <c r="BB20" s="37"/>
      <c r="BC20" s="37"/>
      <c r="BD20" s="47"/>
      <c r="BE20" s="47"/>
      <c r="BF20" s="47"/>
      <c r="BG20" s="47"/>
      <c r="BH20" s="47"/>
      <c r="BI20" s="37"/>
      <c r="BJ20" s="37"/>
      <c r="BK20" s="47"/>
      <c r="BL20" s="47"/>
      <c r="BM20" s="47"/>
      <c r="BN20" s="47"/>
      <c r="BO20" s="47"/>
      <c r="BP20" s="37"/>
      <c r="BQ20" s="37"/>
      <c r="BR20" s="47"/>
      <c r="BS20" s="47"/>
      <c r="BT20" s="47"/>
      <c r="BU20" s="47"/>
      <c r="BV20" s="47"/>
      <c r="BW20" s="37"/>
      <c r="BX20" s="37"/>
      <c r="BY20" s="47"/>
      <c r="BZ20" s="47"/>
      <c r="CA20" s="47"/>
      <c r="CB20" s="47"/>
      <c r="CC20" s="47"/>
      <c r="CD20" s="37"/>
      <c r="CE20" s="37"/>
      <c r="CF20" s="47"/>
      <c r="CG20" s="47"/>
      <c r="CH20" s="47"/>
      <c r="CI20" s="47"/>
      <c r="CJ20" s="47"/>
      <c r="CK20" s="37"/>
      <c r="CL20" s="37"/>
    </row>
    <row r="21" customFormat="false" ht="19.5" hidden="false" customHeight="true" outlineLevel="0" collapsed="false">
      <c r="B21" s="48" t="s">
        <v>104</v>
      </c>
      <c r="C21" s="48"/>
      <c r="D21" s="48"/>
      <c r="E21" s="48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</row>
    <row r="22" customFormat="false" ht="15.75" hidden="false" customHeight="true" outlineLevel="0" collapsed="false">
      <c r="B22" s="51"/>
      <c r="C22" s="52" t="s">
        <v>105</v>
      </c>
      <c r="D22" s="53" t="s">
        <v>106</v>
      </c>
      <c r="E22" s="52" t="s">
        <v>107</v>
      </c>
      <c r="F22" s="54" t="n">
        <v>46120</v>
      </c>
      <c r="G22" s="49"/>
      <c r="H22" s="49"/>
      <c r="I22" s="49"/>
      <c r="J22" s="39"/>
      <c r="K22" s="55"/>
      <c r="L22" s="37"/>
      <c r="M22" s="37"/>
      <c r="N22" s="55"/>
      <c r="O22" s="55"/>
      <c r="P22" s="55"/>
      <c r="Q22" s="55"/>
      <c r="R22" s="55"/>
      <c r="S22" s="37"/>
      <c r="T22" s="37"/>
      <c r="U22" s="55"/>
      <c r="V22" s="55"/>
      <c r="W22" s="55"/>
      <c r="X22" s="55"/>
      <c r="Y22" s="55"/>
      <c r="Z22" s="37"/>
      <c r="AA22" s="37"/>
      <c r="AB22" s="55"/>
      <c r="AC22" s="55"/>
      <c r="AD22" s="55"/>
      <c r="AE22" s="55"/>
      <c r="AF22" s="55"/>
      <c r="AG22" s="37"/>
      <c r="AH22" s="37"/>
      <c r="AI22" s="55"/>
      <c r="AJ22" s="55"/>
      <c r="AK22" s="55"/>
      <c r="AL22" s="55"/>
      <c r="AM22" s="55"/>
      <c r="AN22" s="37"/>
      <c r="AO22" s="37"/>
      <c r="AP22" s="55"/>
      <c r="AQ22" s="55"/>
      <c r="AR22" s="55"/>
      <c r="AS22" s="55"/>
      <c r="AT22" s="55"/>
      <c r="AU22" s="37"/>
      <c r="AV22" s="37"/>
      <c r="AW22" s="55"/>
      <c r="AX22" s="55"/>
      <c r="AY22" s="55"/>
      <c r="AZ22" s="55"/>
      <c r="BA22" s="55"/>
      <c r="BB22" s="37"/>
      <c r="BC22" s="37"/>
      <c r="BD22" s="55"/>
      <c r="BE22" s="55"/>
      <c r="BF22" s="55"/>
      <c r="BG22" s="55"/>
      <c r="BH22" s="55"/>
      <c r="BI22" s="37"/>
      <c r="BJ22" s="37"/>
      <c r="BK22" s="55"/>
      <c r="BL22" s="55"/>
      <c r="BM22" s="55"/>
      <c r="BN22" s="55"/>
      <c r="BO22" s="55"/>
      <c r="BP22" s="37"/>
      <c r="BQ22" s="37"/>
      <c r="BR22" s="55"/>
      <c r="BS22" s="55"/>
      <c r="BT22" s="55"/>
      <c r="BU22" s="55"/>
      <c r="BV22" s="55"/>
      <c r="BW22" s="37"/>
      <c r="BX22" s="37"/>
      <c r="BY22" s="55"/>
      <c r="BZ22" s="55"/>
      <c r="CA22" s="55"/>
      <c r="CB22" s="55"/>
      <c r="CC22" s="55"/>
      <c r="CD22" s="37"/>
      <c r="CE22" s="37"/>
      <c r="CF22" s="55"/>
      <c r="CG22" s="55"/>
      <c r="CH22" s="55"/>
      <c r="CI22" s="55"/>
      <c r="CJ22" s="55"/>
      <c r="CK22" s="37"/>
      <c r="CL22" s="37"/>
    </row>
    <row r="23" customFormat="false" ht="15.75" hidden="false" customHeight="true" outlineLevel="0" collapsed="false">
      <c r="B23" s="51"/>
      <c r="C23" s="52" t="s">
        <v>105</v>
      </c>
      <c r="D23" s="53" t="s">
        <v>108</v>
      </c>
      <c r="E23" s="52" t="s">
        <v>107</v>
      </c>
      <c r="F23" s="54" t="n">
        <v>46123</v>
      </c>
      <c r="G23" s="55"/>
      <c r="H23" s="55"/>
      <c r="I23" s="49"/>
      <c r="J23" s="49"/>
      <c r="K23" s="49"/>
      <c r="L23" s="37"/>
      <c r="M23" s="37"/>
      <c r="N23" s="55"/>
      <c r="O23" s="55"/>
      <c r="P23" s="55"/>
      <c r="Q23" s="55"/>
      <c r="R23" s="55"/>
      <c r="S23" s="37"/>
      <c r="T23" s="37"/>
      <c r="U23" s="55"/>
      <c r="V23" s="55"/>
      <c r="W23" s="55"/>
      <c r="X23" s="55"/>
      <c r="Y23" s="55"/>
      <c r="Z23" s="37"/>
      <c r="AA23" s="37"/>
      <c r="AB23" s="55"/>
      <c r="AC23" s="55"/>
      <c r="AD23" s="55"/>
      <c r="AE23" s="55"/>
      <c r="AF23" s="55"/>
      <c r="AG23" s="37"/>
      <c r="AH23" s="37"/>
      <c r="AI23" s="55"/>
      <c r="AJ23" s="55"/>
      <c r="AK23" s="55"/>
      <c r="AL23" s="55"/>
      <c r="AM23" s="55"/>
      <c r="AN23" s="37"/>
      <c r="AO23" s="37"/>
      <c r="AP23" s="55"/>
      <c r="AQ23" s="55"/>
      <c r="AR23" s="55"/>
      <c r="AS23" s="55"/>
      <c r="AT23" s="55"/>
      <c r="AU23" s="37"/>
      <c r="AV23" s="37"/>
      <c r="AW23" s="55"/>
      <c r="AX23" s="55"/>
      <c r="AY23" s="55"/>
      <c r="AZ23" s="55"/>
      <c r="BA23" s="55"/>
      <c r="BB23" s="37"/>
      <c r="BC23" s="37"/>
      <c r="BD23" s="55"/>
      <c r="BE23" s="55"/>
      <c r="BF23" s="55"/>
      <c r="BG23" s="55"/>
      <c r="BH23" s="55"/>
      <c r="BI23" s="37"/>
      <c r="BJ23" s="37"/>
      <c r="BK23" s="55"/>
      <c r="BL23" s="55"/>
      <c r="BM23" s="55"/>
      <c r="BN23" s="55"/>
      <c r="BO23" s="55"/>
      <c r="BP23" s="37"/>
      <c r="BQ23" s="37"/>
      <c r="BR23" s="55"/>
      <c r="BS23" s="55"/>
      <c r="BT23" s="55"/>
      <c r="BU23" s="55"/>
      <c r="BV23" s="55"/>
      <c r="BW23" s="37"/>
      <c r="BX23" s="37"/>
      <c r="BY23" s="55"/>
      <c r="BZ23" s="55"/>
      <c r="CA23" s="55"/>
      <c r="CB23" s="55"/>
      <c r="CC23" s="55"/>
      <c r="CD23" s="37"/>
      <c r="CE23" s="37"/>
      <c r="CF23" s="55"/>
      <c r="CG23" s="55"/>
      <c r="CH23" s="55"/>
      <c r="CI23" s="55"/>
      <c r="CJ23" s="55"/>
      <c r="CK23" s="37"/>
      <c r="CL23" s="37"/>
    </row>
    <row r="24" customFormat="false" ht="15.75" hidden="false" customHeight="true" outlineLevel="0" collapsed="false">
      <c r="B24" s="51"/>
      <c r="C24" s="52" t="s">
        <v>109</v>
      </c>
      <c r="D24" s="53" t="s">
        <v>110</v>
      </c>
      <c r="E24" s="52" t="s">
        <v>94</v>
      </c>
      <c r="F24" s="54" t="n">
        <v>46130</v>
      </c>
      <c r="G24" s="55"/>
      <c r="H24" s="55"/>
      <c r="I24" s="55"/>
      <c r="J24" s="39"/>
      <c r="K24" s="55"/>
      <c r="L24" s="37"/>
      <c r="M24" s="37"/>
      <c r="N24" s="49"/>
      <c r="O24" s="49"/>
      <c r="P24" s="49"/>
      <c r="Q24" s="49"/>
      <c r="R24" s="49"/>
      <c r="S24" s="37"/>
      <c r="T24" s="37"/>
      <c r="U24" s="55"/>
      <c r="V24" s="55"/>
      <c r="W24" s="55"/>
      <c r="X24" s="55"/>
      <c r="Y24" s="55"/>
      <c r="Z24" s="37"/>
      <c r="AA24" s="37"/>
      <c r="AB24" s="55"/>
      <c r="AC24" s="55"/>
      <c r="AD24" s="55"/>
      <c r="AE24" s="55"/>
      <c r="AF24" s="55"/>
      <c r="AG24" s="37"/>
      <c r="AH24" s="37"/>
      <c r="AI24" s="55"/>
      <c r="AJ24" s="55"/>
      <c r="AK24" s="55"/>
      <c r="AL24" s="55"/>
      <c r="AM24" s="55"/>
      <c r="AN24" s="37"/>
      <c r="AO24" s="37"/>
      <c r="AP24" s="55"/>
      <c r="AQ24" s="55"/>
      <c r="AR24" s="55"/>
      <c r="AS24" s="55"/>
      <c r="AT24" s="55"/>
      <c r="AU24" s="37"/>
      <c r="AV24" s="37"/>
      <c r="AW24" s="55"/>
      <c r="AX24" s="55"/>
      <c r="AY24" s="55"/>
      <c r="AZ24" s="55"/>
      <c r="BA24" s="55"/>
      <c r="BB24" s="37"/>
      <c r="BC24" s="37"/>
      <c r="BD24" s="55"/>
      <c r="BE24" s="55"/>
      <c r="BF24" s="55"/>
      <c r="BG24" s="55"/>
      <c r="BH24" s="55"/>
      <c r="BI24" s="37"/>
      <c r="BJ24" s="37"/>
      <c r="BK24" s="55"/>
      <c r="BL24" s="55"/>
      <c r="BM24" s="55"/>
      <c r="BN24" s="55"/>
      <c r="BO24" s="55"/>
      <c r="BP24" s="37"/>
      <c r="BQ24" s="37"/>
      <c r="BR24" s="55"/>
      <c r="BS24" s="55"/>
      <c r="BT24" s="55"/>
      <c r="BU24" s="55"/>
      <c r="BV24" s="55"/>
      <c r="BW24" s="37"/>
      <c r="BX24" s="37"/>
      <c r="BY24" s="55"/>
      <c r="BZ24" s="55"/>
      <c r="CA24" s="55"/>
      <c r="CB24" s="55"/>
      <c r="CC24" s="55"/>
      <c r="CD24" s="37"/>
      <c r="CE24" s="37"/>
      <c r="CF24" s="55"/>
      <c r="CG24" s="55"/>
      <c r="CH24" s="55"/>
      <c r="CI24" s="55"/>
      <c r="CJ24" s="55"/>
      <c r="CK24" s="37"/>
      <c r="CL24" s="37"/>
    </row>
    <row r="25" customFormat="false" ht="15.75" hidden="false" customHeight="true" outlineLevel="0" collapsed="false">
      <c r="B25" s="51"/>
      <c r="C25" s="52" t="s">
        <v>109</v>
      </c>
      <c r="D25" s="53" t="s">
        <v>111</v>
      </c>
      <c r="E25" s="52" t="s">
        <v>81</v>
      </c>
      <c r="F25" s="54" t="n">
        <v>46133</v>
      </c>
      <c r="G25" s="55"/>
      <c r="H25" s="55"/>
      <c r="I25" s="55"/>
      <c r="J25" s="39"/>
      <c r="K25" s="55"/>
      <c r="L25" s="37"/>
      <c r="M25" s="37"/>
      <c r="N25" s="55"/>
      <c r="O25" s="55"/>
      <c r="P25" s="55"/>
      <c r="Q25" s="49"/>
      <c r="R25" s="49"/>
      <c r="S25" s="37"/>
      <c r="T25" s="37"/>
      <c r="U25" s="49"/>
      <c r="V25" s="49"/>
      <c r="W25" s="55"/>
      <c r="X25" s="55"/>
      <c r="Y25" s="55"/>
      <c r="Z25" s="37"/>
      <c r="AA25" s="37"/>
      <c r="AB25" s="55"/>
      <c r="AC25" s="55"/>
      <c r="AD25" s="55"/>
      <c r="AE25" s="55"/>
      <c r="AF25" s="55"/>
      <c r="AG25" s="37"/>
      <c r="AH25" s="37"/>
      <c r="AI25" s="55"/>
      <c r="AJ25" s="55"/>
      <c r="AK25" s="55"/>
      <c r="AL25" s="55"/>
      <c r="AM25" s="55"/>
      <c r="AN25" s="37"/>
      <c r="AO25" s="37"/>
      <c r="AP25" s="55"/>
      <c r="AQ25" s="55"/>
      <c r="AR25" s="55"/>
      <c r="AS25" s="55"/>
      <c r="AT25" s="55"/>
      <c r="AU25" s="37"/>
      <c r="AV25" s="37"/>
      <c r="AW25" s="55"/>
      <c r="AX25" s="55"/>
      <c r="AY25" s="55"/>
      <c r="AZ25" s="55"/>
      <c r="BA25" s="55"/>
      <c r="BB25" s="37"/>
      <c r="BC25" s="37"/>
      <c r="BD25" s="55"/>
      <c r="BE25" s="55"/>
      <c r="BF25" s="55"/>
      <c r="BG25" s="55"/>
      <c r="BH25" s="55"/>
      <c r="BI25" s="37"/>
      <c r="BJ25" s="37"/>
      <c r="BK25" s="55"/>
      <c r="BL25" s="55"/>
      <c r="BM25" s="55"/>
      <c r="BN25" s="55"/>
      <c r="BO25" s="55"/>
      <c r="BP25" s="37"/>
      <c r="BQ25" s="37"/>
      <c r="BR25" s="55"/>
      <c r="BS25" s="55"/>
      <c r="BT25" s="55"/>
      <c r="BU25" s="55"/>
      <c r="BV25" s="55"/>
      <c r="BW25" s="37"/>
      <c r="BX25" s="37"/>
      <c r="BY25" s="55"/>
      <c r="BZ25" s="55"/>
      <c r="CA25" s="55"/>
      <c r="CB25" s="55"/>
      <c r="CC25" s="55"/>
      <c r="CD25" s="37"/>
      <c r="CE25" s="37"/>
      <c r="CF25" s="55"/>
      <c r="CG25" s="55"/>
      <c r="CH25" s="55"/>
      <c r="CI25" s="55"/>
      <c r="CJ25" s="55"/>
      <c r="CK25" s="37"/>
      <c r="CL25" s="37"/>
    </row>
    <row r="26" customFormat="false" ht="15.75" hidden="false" customHeight="true" outlineLevel="0" collapsed="false">
      <c r="B26" s="51"/>
      <c r="C26" s="52" t="s">
        <v>82</v>
      </c>
      <c r="D26" s="53" t="s">
        <v>112</v>
      </c>
      <c r="E26" s="52" t="s">
        <v>81</v>
      </c>
      <c r="F26" s="54" t="n">
        <v>46144</v>
      </c>
      <c r="G26" s="55"/>
      <c r="H26" s="55"/>
      <c r="I26" s="55"/>
      <c r="J26" s="39"/>
      <c r="K26" s="55"/>
      <c r="L26" s="37"/>
      <c r="M26" s="37"/>
      <c r="N26" s="55"/>
      <c r="O26" s="55"/>
      <c r="P26" s="55"/>
      <c r="Q26" s="55"/>
      <c r="R26" s="55"/>
      <c r="S26" s="37"/>
      <c r="T26" s="37"/>
      <c r="U26" s="55"/>
      <c r="V26" s="49"/>
      <c r="W26" s="49"/>
      <c r="X26" s="49"/>
      <c r="Y26" s="49"/>
      <c r="Z26" s="37"/>
      <c r="AA26" s="37"/>
      <c r="AB26" s="49"/>
      <c r="AC26" s="49"/>
      <c r="AD26" s="49"/>
      <c r="AE26" s="49"/>
      <c r="AF26" s="49"/>
      <c r="AG26" s="37"/>
      <c r="AH26" s="37"/>
      <c r="AI26" s="55"/>
      <c r="AJ26" s="55"/>
      <c r="AK26" s="55"/>
      <c r="AL26" s="55"/>
      <c r="AM26" s="55"/>
      <c r="AN26" s="37"/>
      <c r="AO26" s="37"/>
      <c r="AP26" s="55"/>
      <c r="AQ26" s="55"/>
      <c r="AR26" s="55"/>
      <c r="AS26" s="55"/>
      <c r="AT26" s="55"/>
      <c r="AU26" s="37"/>
      <c r="AV26" s="37"/>
      <c r="AW26" s="55"/>
      <c r="AX26" s="55"/>
      <c r="AY26" s="55"/>
      <c r="AZ26" s="55"/>
      <c r="BA26" s="55"/>
      <c r="BB26" s="37"/>
      <c r="BC26" s="37"/>
      <c r="BD26" s="55"/>
      <c r="BE26" s="55"/>
      <c r="BF26" s="55"/>
      <c r="BG26" s="55"/>
      <c r="BH26" s="55"/>
      <c r="BI26" s="37"/>
      <c r="BJ26" s="37"/>
      <c r="BK26" s="55"/>
      <c r="BL26" s="55"/>
      <c r="BM26" s="55"/>
      <c r="BN26" s="55"/>
      <c r="BO26" s="55"/>
      <c r="BP26" s="37"/>
      <c r="BQ26" s="37"/>
      <c r="BR26" s="55"/>
      <c r="BS26" s="55"/>
      <c r="BT26" s="55"/>
      <c r="BU26" s="55"/>
      <c r="BV26" s="55"/>
      <c r="BW26" s="37"/>
      <c r="BX26" s="37"/>
      <c r="BY26" s="55"/>
      <c r="BZ26" s="55"/>
      <c r="CA26" s="55"/>
      <c r="CB26" s="55"/>
      <c r="CC26" s="55"/>
      <c r="CD26" s="37"/>
      <c r="CE26" s="37"/>
      <c r="CF26" s="55"/>
      <c r="CG26" s="55"/>
      <c r="CH26" s="55"/>
      <c r="CI26" s="55"/>
      <c r="CJ26" s="55"/>
      <c r="CK26" s="37"/>
      <c r="CL26" s="37"/>
    </row>
    <row r="27" customFormat="false" ht="15.75" hidden="false" customHeight="true" outlineLevel="0" collapsed="false">
      <c r="B27" s="51"/>
      <c r="C27" s="52" t="s">
        <v>82</v>
      </c>
      <c r="D27" s="53" t="s">
        <v>113</v>
      </c>
      <c r="E27" s="52" t="s">
        <v>103</v>
      </c>
      <c r="F27" s="54" t="n">
        <v>46146</v>
      </c>
      <c r="G27" s="55"/>
      <c r="H27" s="55"/>
      <c r="I27" s="55"/>
      <c r="J27" s="39"/>
      <c r="K27" s="55"/>
      <c r="L27" s="37"/>
      <c r="M27" s="37"/>
      <c r="N27" s="55"/>
      <c r="O27" s="55"/>
      <c r="P27" s="55"/>
      <c r="Q27" s="55"/>
      <c r="R27" s="55"/>
      <c r="S27" s="37"/>
      <c r="T27" s="37"/>
      <c r="U27" s="55"/>
      <c r="V27" s="55"/>
      <c r="W27" s="55"/>
      <c r="X27" s="55"/>
      <c r="Y27" s="55"/>
      <c r="Z27" s="37"/>
      <c r="AA27" s="37"/>
      <c r="AB27" s="55"/>
      <c r="AC27" s="49"/>
      <c r="AD27" s="49"/>
      <c r="AE27" s="49"/>
      <c r="AF27" s="49"/>
      <c r="AG27" s="37"/>
      <c r="AH27" s="37"/>
      <c r="AI27" s="49"/>
      <c r="AJ27" s="55"/>
      <c r="AK27" s="55"/>
      <c r="AL27" s="55"/>
      <c r="AM27" s="55"/>
      <c r="AN27" s="37"/>
      <c r="AO27" s="37"/>
      <c r="AP27" s="55"/>
      <c r="AQ27" s="55"/>
      <c r="AR27" s="55"/>
      <c r="AS27" s="55"/>
      <c r="AT27" s="55"/>
      <c r="AU27" s="37"/>
      <c r="AV27" s="37"/>
      <c r="AW27" s="55"/>
      <c r="AX27" s="55"/>
      <c r="AY27" s="55"/>
      <c r="AZ27" s="55"/>
      <c r="BA27" s="55"/>
      <c r="BB27" s="37"/>
      <c r="BC27" s="37"/>
      <c r="BD27" s="55"/>
      <c r="BE27" s="55"/>
      <c r="BF27" s="55"/>
      <c r="BG27" s="55"/>
      <c r="BH27" s="55"/>
      <c r="BI27" s="37"/>
      <c r="BJ27" s="37"/>
      <c r="BK27" s="55"/>
      <c r="BL27" s="55"/>
      <c r="BM27" s="55"/>
      <c r="BN27" s="55"/>
      <c r="BO27" s="55"/>
      <c r="BP27" s="37"/>
      <c r="BQ27" s="37"/>
      <c r="BR27" s="55"/>
      <c r="BS27" s="55"/>
      <c r="BT27" s="55"/>
      <c r="BU27" s="55"/>
      <c r="BV27" s="55"/>
      <c r="BW27" s="37"/>
      <c r="BX27" s="37"/>
      <c r="BY27" s="55"/>
      <c r="BZ27" s="55"/>
      <c r="CA27" s="55"/>
      <c r="CB27" s="55"/>
      <c r="CC27" s="55"/>
      <c r="CD27" s="37"/>
      <c r="CE27" s="37"/>
      <c r="CF27" s="55"/>
      <c r="CG27" s="55"/>
      <c r="CH27" s="55"/>
      <c r="CI27" s="55"/>
      <c r="CJ27" s="55"/>
      <c r="CK27" s="37"/>
      <c r="CL27" s="37"/>
    </row>
    <row r="28" customFormat="false" ht="15.75" hidden="false" customHeight="true" outlineLevel="0" collapsed="false">
      <c r="B28" s="51"/>
      <c r="C28" s="52" t="s">
        <v>98</v>
      </c>
      <c r="D28" s="53" t="s">
        <v>114</v>
      </c>
      <c r="E28" s="52" t="s">
        <v>115</v>
      </c>
      <c r="F28" s="54" t="n">
        <v>46150</v>
      </c>
      <c r="G28" s="55"/>
      <c r="H28" s="55"/>
      <c r="I28" s="55"/>
      <c r="J28" s="39"/>
      <c r="K28" s="55"/>
      <c r="L28" s="37"/>
      <c r="M28" s="37"/>
      <c r="N28" s="55"/>
      <c r="O28" s="55"/>
      <c r="P28" s="55"/>
      <c r="Q28" s="55"/>
      <c r="R28" s="55"/>
      <c r="S28" s="37"/>
      <c r="T28" s="37"/>
      <c r="U28" s="55"/>
      <c r="V28" s="55"/>
      <c r="W28" s="55"/>
      <c r="X28" s="55"/>
      <c r="Y28" s="55"/>
      <c r="Z28" s="37"/>
      <c r="AA28" s="37"/>
      <c r="AB28" s="55"/>
      <c r="AC28" s="55"/>
      <c r="AD28" s="55"/>
      <c r="AE28" s="55"/>
      <c r="AF28" s="55"/>
      <c r="AG28" s="37"/>
      <c r="AH28" s="37"/>
      <c r="AI28" s="49"/>
      <c r="AJ28" s="49"/>
      <c r="AK28" s="49"/>
      <c r="AL28" s="49"/>
      <c r="AM28" s="49"/>
      <c r="AN28" s="37"/>
      <c r="AO28" s="37"/>
      <c r="AP28" s="55"/>
      <c r="AQ28" s="55"/>
      <c r="AR28" s="55"/>
      <c r="AS28" s="55"/>
      <c r="AT28" s="55"/>
      <c r="AU28" s="37"/>
      <c r="AV28" s="37"/>
      <c r="AW28" s="55"/>
      <c r="AX28" s="55"/>
      <c r="AY28" s="55"/>
      <c r="AZ28" s="55"/>
      <c r="BA28" s="55"/>
      <c r="BB28" s="37"/>
      <c r="BC28" s="37"/>
      <c r="BD28" s="55"/>
      <c r="BE28" s="55"/>
      <c r="BF28" s="55"/>
      <c r="BG28" s="55"/>
      <c r="BH28" s="55"/>
      <c r="BI28" s="37"/>
      <c r="BJ28" s="37"/>
      <c r="BK28" s="55"/>
      <c r="BL28" s="55"/>
      <c r="BM28" s="55"/>
      <c r="BN28" s="55"/>
      <c r="BO28" s="55"/>
      <c r="BP28" s="37"/>
      <c r="BQ28" s="37"/>
      <c r="BR28" s="55"/>
      <c r="BS28" s="55"/>
      <c r="BT28" s="55"/>
      <c r="BU28" s="55"/>
      <c r="BV28" s="55"/>
      <c r="BW28" s="37"/>
      <c r="BX28" s="37"/>
      <c r="BY28" s="55"/>
      <c r="BZ28" s="55"/>
      <c r="CA28" s="55"/>
      <c r="CB28" s="55"/>
      <c r="CC28" s="55"/>
      <c r="CD28" s="37"/>
      <c r="CE28" s="37"/>
      <c r="CF28" s="55"/>
      <c r="CG28" s="55"/>
      <c r="CH28" s="55"/>
      <c r="CI28" s="55"/>
      <c r="CJ28" s="55"/>
      <c r="CK28" s="37"/>
      <c r="CL28" s="37"/>
    </row>
    <row r="29" customFormat="false" ht="15.75" hidden="false" customHeight="true" outlineLevel="0" collapsed="false">
      <c r="B29" s="51"/>
      <c r="C29" s="52" t="s">
        <v>88</v>
      </c>
      <c r="D29" s="53" t="s">
        <v>116</v>
      </c>
      <c r="E29" s="52" t="s">
        <v>74</v>
      </c>
      <c r="F29" s="54" t="n">
        <v>46155</v>
      </c>
      <c r="G29" s="55"/>
      <c r="H29" s="55"/>
      <c r="I29" s="55"/>
      <c r="J29" s="39"/>
      <c r="K29" s="55"/>
      <c r="L29" s="37"/>
      <c r="M29" s="37"/>
      <c r="N29" s="55"/>
      <c r="O29" s="55"/>
      <c r="P29" s="55"/>
      <c r="Q29" s="55"/>
      <c r="R29" s="55"/>
      <c r="S29" s="37"/>
      <c r="T29" s="37"/>
      <c r="U29" s="55"/>
      <c r="V29" s="55"/>
      <c r="W29" s="55"/>
      <c r="X29" s="55"/>
      <c r="Y29" s="55"/>
      <c r="Z29" s="37"/>
      <c r="AA29" s="37"/>
      <c r="AB29" s="55"/>
      <c r="AC29" s="55"/>
      <c r="AD29" s="55"/>
      <c r="AE29" s="55"/>
      <c r="AF29" s="55"/>
      <c r="AG29" s="37"/>
      <c r="AH29" s="37"/>
      <c r="AI29" s="55"/>
      <c r="AJ29" s="55"/>
      <c r="AK29" s="55"/>
      <c r="AL29" s="55"/>
      <c r="AM29" s="55"/>
      <c r="AN29" s="37"/>
      <c r="AO29" s="37"/>
      <c r="AP29" s="49"/>
      <c r="AQ29" s="49"/>
      <c r="AR29" s="49"/>
      <c r="AS29" s="55"/>
      <c r="AT29" s="55"/>
      <c r="AU29" s="37"/>
      <c r="AV29" s="37"/>
      <c r="AW29" s="55"/>
      <c r="AX29" s="55"/>
      <c r="AY29" s="55"/>
      <c r="AZ29" s="55"/>
      <c r="BA29" s="55"/>
      <c r="BB29" s="37"/>
      <c r="BC29" s="37"/>
      <c r="BD29" s="55"/>
      <c r="BE29" s="55"/>
      <c r="BF29" s="55"/>
      <c r="BG29" s="55"/>
      <c r="BH29" s="55"/>
      <c r="BI29" s="37"/>
      <c r="BJ29" s="37"/>
      <c r="BK29" s="55"/>
      <c r="BL29" s="55"/>
      <c r="BM29" s="55"/>
      <c r="BN29" s="55"/>
      <c r="BO29" s="55"/>
      <c r="BP29" s="37"/>
      <c r="BQ29" s="37"/>
      <c r="BR29" s="55"/>
      <c r="BS29" s="55"/>
      <c r="BT29" s="55"/>
      <c r="BU29" s="55"/>
      <c r="BV29" s="55"/>
      <c r="BW29" s="37"/>
      <c r="BX29" s="37"/>
      <c r="BY29" s="55"/>
      <c r="BZ29" s="55"/>
      <c r="CA29" s="55"/>
      <c r="CB29" s="55"/>
      <c r="CC29" s="55"/>
      <c r="CD29" s="37"/>
      <c r="CE29" s="37"/>
      <c r="CF29" s="55"/>
      <c r="CG29" s="55"/>
      <c r="CH29" s="55"/>
      <c r="CI29" s="55"/>
      <c r="CJ29" s="55"/>
      <c r="CK29" s="37"/>
      <c r="CL29" s="37"/>
    </row>
    <row r="30" customFormat="false" ht="13.5" hidden="false" customHeight="true" outlineLevel="0" collapsed="false">
      <c r="B30" s="56" t="s">
        <v>117</v>
      </c>
      <c r="C30" s="56"/>
      <c r="D30" s="56"/>
      <c r="E30" s="56"/>
    </row>
  </sheetData>
  <mergeCells count="17">
    <mergeCell ref="B1:CM1"/>
    <mergeCell ref="G2:M2"/>
    <mergeCell ref="N2:T2"/>
    <mergeCell ref="U2:AA2"/>
    <mergeCell ref="AB2:AH2"/>
    <mergeCell ref="AI2:AO2"/>
    <mergeCell ref="AP2:AV2"/>
    <mergeCell ref="AW2:BC2"/>
    <mergeCell ref="BD2:BJ2"/>
    <mergeCell ref="BK2:BQ2"/>
    <mergeCell ref="BR2:BX2"/>
    <mergeCell ref="BY2:CE2"/>
    <mergeCell ref="CF2:CL2"/>
    <mergeCell ref="B4:E4"/>
    <mergeCell ref="B13:E13"/>
    <mergeCell ref="B21:E21"/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45"/>
    <pageSetUpPr fitToPage="false"/>
  </sheetPr>
  <dimension ref="B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2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57" t="s">
        <v>118</v>
      </c>
      <c r="C2" s="57"/>
      <c r="D2" s="57"/>
      <c r="E2" s="57"/>
      <c r="F2" s="57"/>
      <c r="G2" s="57"/>
      <c r="H2" s="57"/>
      <c r="I2" s="57"/>
      <c r="J2" s="57"/>
    </row>
    <row r="3" customFormat="false" ht="13.5" hidden="false" customHeight="true" outlineLevel="0" collapsed="false">
      <c r="B3" s="58" t="s">
        <v>119</v>
      </c>
      <c r="C3" s="58"/>
      <c r="D3" s="58"/>
      <c r="E3" s="58"/>
      <c r="F3" s="58"/>
      <c r="G3" s="58"/>
      <c r="H3" s="58"/>
      <c r="I3" s="58"/>
      <c r="J3" s="58"/>
    </row>
    <row r="4" customFormat="false" ht="25.5" hidden="false" customHeight="true" outlineLevel="0" collapsed="false">
      <c r="B4" s="5" t="s">
        <v>3</v>
      </c>
      <c r="C4" s="5" t="s">
        <v>33</v>
      </c>
      <c r="D4" s="5" t="s">
        <v>120</v>
      </c>
      <c r="E4" s="5" t="s">
        <v>35</v>
      </c>
      <c r="F4" s="5" t="s">
        <v>121</v>
      </c>
      <c r="G4" s="5" t="s">
        <v>36</v>
      </c>
      <c r="H4" s="5" t="s">
        <v>122</v>
      </c>
      <c r="I4" s="5" t="s">
        <v>5</v>
      </c>
      <c r="J4" s="5" t="s">
        <v>123</v>
      </c>
    </row>
    <row r="5" customFormat="false" ht="19.5" hidden="false" customHeight="true" outlineLevel="0" collapsed="false">
      <c r="B5" s="30" t="s">
        <v>124</v>
      </c>
      <c r="C5" s="30"/>
      <c r="D5" s="30"/>
      <c r="E5" s="30"/>
      <c r="F5" s="30"/>
      <c r="G5" s="30"/>
      <c r="H5" s="30"/>
      <c r="I5" s="30"/>
      <c r="J5" s="30"/>
    </row>
    <row r="6" customFormat="false" ht="16.5" hidden="false" customHeight="true" outlineLevel="0" collapsed="false">
      <c r="B6" s="33"/>
      <c r="C6" s="59" t="s">
        <v>72</v>
      </c>
      <c r="D6" s="60" t="s">
        <v>73</v>
      </c>
      <c r="E6" s="59" t="s">
        <v>74</v>
      </c>
      <c r="F6" s="61" t="n">
        <v>46118</v>
      </c>
      <c r="G6" s="61" t="n">
        <v>46122</v>
      </c>
      <c r="H6" s="62" t="n">
        <v>1</v>
      </c>
      <c r="I6" s="63" t="s">
        <v>125</v>
      </c>
      <c r="J6" s="64" t="s">
        <v>126</v>
      </c>
    </row>
    <row r="7" customFormat="false" ht="16.5" hidden="false" customHeight="true" outlineLevel="0" collapsed="false">
      <c r="B7" s="33"/>
      <c r="C7" s="59" t="s">
        <v>72</v>
      </c>
      <c r="D7" s="60" t="s">
        <v>75</v>
      </c>
      <c r="E7" s="59" t="s">
        <v>76</v>
      </c>
      <c r="F7" s="61" t="n">
        <v>46121</v>
      </c>
      <c r="G7" s="61" t="n">
        <v>46127</v>
      </c>
      <c r="H7" s="65" t="n">
        <v>0.8</v>
      </c>
      <c r="I7" s="66" t="s">
        <v>127</v>
      </c>
      <c r="J7" s="64" t="s">
        <v>128</v>
      </c>
    </row>
    <row r="8" customFormat="false" ht="16.5" hidden="false" customHeight="true" outlineLevel="0" collapsed="false">
      <c r="B8" s="33"/>
      <c r="C8" s="59" t="s">
        <v>77</v>
      </c>
      <c r="D8" s="60" t="s">
        <v>78</v>
      </c>
      <c r="E8" s="59" t="s">
        <v>79</v>
      </c>
      <c r="F8" s="61" t="n">
        <v>46126</v>
      </c>
      <c r="G8" s="61" t="n">
        <v>46131</v>
      </c>
      <c r="H8" s="65" t="n">
        <v>0.5</v>
      </c>
      <c r="I8" s="66" t="s">
        <v>127</v>
      </c>
      <c r="J8" s="64"/>
    </row>
    <row r="9" customFormat="false" ht="16.5" hidden="false" customHeight="true" outlineLevel="0" collapsed="false">
      <c r="B9" s="33"/>
      <c r="C9" s="59" t="s">
        <v>77</v>
      </c>
      <c r="D9" s="60" t="s">
        <v>80</v>
      </c>
      <c r="E9" s="59" t="s">
        <v>81</v>
      </c>
      <c r="F9" s="61" t="n">
        <v>46128</v>
      </c>
      <c r="G9" s="61" t="n">
        <v>46132</v>
      </c>
      <c r="H9" s="67" t="n">
        <v>0</v>
      </c>
      <c r="I9" s="68" t="s">
        <v>129</v>
      </c>
      <c r="J9" s="64" t="s">
        <v>130</v>
      </c>
    </row>
    <row r="10" customFormat="false" ht="16.5" hidden="false" customHeight="true" outlineLevel="0" collapsed="false">
      <c r="B10" s="33"/>
      <c r="C10" s="59" t="s">
        <v>82</v>
      </c>
      <c r="D10" s="60" t="s">
        <v>83</v>
      </c>
      <c r="E10" s="59" t="s">
        <v>81</v>
      </c>
      <c r="F10" s="61" t="n">
        <v>46132</v>
      </c>
      <c r="G10" s="61" t="n">
        <v>46141</v>
      </c>
      <c r="H10" s="67" t="n">
        <v>0</v>
      </c>
      <c r="I10" s="68" t="s">
        <v>129</v>
      </c>
      <c r="J10" s="64"/>
    </row>
    <row r="11" customFormat="false" ht="16.5" hidden="false" customHeight="true" outlineLevel="0" collapsed="false">
      <c r="B11" s="33"/>
      <c r="C11" s="59" t="s">
        <v>82</v>
      </c>
      <c r="D11" s="60" t="s">
        <v>84</v>
      </c>
      <c r="E11" s="59" t="s">
        <v>81</v>
      </c>
      <c r="F11" s="61" t="n">
        <v>46136</v>
      </c>
      <c r="G11" s="61" t="n">
        <v>46143</v>
      </c>
      <c r="H11" s="67" t="n">
        <v>0</v>
      </c>
      <c r="I11" s="68" t="s">
        <v>129</v>
      </c>
      <c r="J11" s="64"/>
    </row>
    <row r="12" customFormat="false" ht="16.5" hidden="false" customHeight="true" outlineLevel="0" collapsed="false">
      <c r="B12" s="33"/>
      <c r="C12" s="59" t="s">
        <v>85</v>
      </c>
      <c r="D12" s="60" t="s">
        <v>86</v>
      </c>
      <c r="E12" s="59" t="s">
        <v>87</v>
      </c>
      <c r="F12" s="61" t="n">
        <v>46144</v>
      </c>
      <c r="G12" s="61" t="n">
        <v>46150</v>
      </c>
      <c r="H12" s="67" t="n">
        <v>0</v>
      </c>
      <c r="I12" s="68" t="s">
        <v>129</v>
      </c>
      <c r="J12" s="64"/>
    </row>
    <row r="13" customFormat="false" ht="16.5" hidden="false" customHeight="true" outlineLevel="0" collapsed="false">
      <c r="B13" s="33"/>
      <c r="C13" s="59" t="s">
        <v>88</v>
      </c>
      <c r="D13" s="60" t="s">
        <v>89</v>
      </c>
      <c r="E13" s="59" t="s">
        <v>74</v>
      </c>
      <c r="F13" s="61" t="n">
        <v>46151</v>
      </c>
      <c r="G13" s="61" t="n">
        <v>46155</v>
      </c>
      <c r="H13" s="67" t="n">
        <v>0</v>
      </c>
      <c r="I13" s="68" t="s">
        <v>129</v>
      </c>
      <c r="J13" s="64"/>
    </row>
    <row r="14" customFormat="false" ht="19.5" hidden="false" customHeight="true" outlineLevel="0" collapsed="false">
      <c r="B14" s="40" t="s">
        <v>131</v>
      </c>
      <c r="C14" s="40"/>
      <c r="D14" s="40"/>
      <c r="E14" s="40"/>
      <c r="F14" s="40"/>
      <c r="G14" s="40"/>
      <c r="H14" s="40"/>
      <c r="I14" s="40"/>
      <c r="J14" s="40"/>
    </row>
    <row r="15" customFormat="false" ht="16.5" hidden="false" customHeight="true" outlineLevel="0" collapsed="false">
      <c r="B15" s="43"/>
      <c r="C15" s="69" t="s">
        <v>91</v>
      </c>
      <c r="D15" s="70" t="s">
        <v>92</v>
      </c>
      <c r="E15" s="69" t="s">
        <v>74</v>
      </c>
      <c r="F15" s="71" t="n">
        <v>46120</v>
      </c>
      <c r="G15" s="71" t="n">
        <v>46123</v>
      </c>
      <c r="H15" s="72" t="n">
        <v>1</v>
      </c>
      <c r="I15" s="63" t="s">
        <v>125</v>
      </c>
      <c r="J15" s="73"/>
    </row>
    <row r="16" customFormat="false" ht="16.5" hidden="false" customHeight="true" outlineLevel="0" collapsed="false">
      <c r="B16" s="43"/>
      <c r="C16" s="69" t="s">
        <v>91</v>
      </c>
      <c r="D16" s="70" t="s">
        <v>93</v>
      </c>
      <c r="E16" s="69" t="s">
        <v>94</v>
      </c>
      <c r="F16" s="71" t="n">
        <v>46122</v>
      </c>
      <c r="G16" s="71" t="n">
        <v>46127</v>
      </c>
      <c r="H16" s="74" t="n">
        <v>0.6</v>
      </c>
      <c r="I16" s="66" t="s">
        <v>127</v>
      </c>
      <c r="J16" s="73" t="s">
        <v>132</v>
      </c>
    </row>
    <row r="17" customFormat="false" ht="16.5" hidden="false" customHeight="true" outlineLevel="0" collapsed="false">
      <c r="B17" s="43"/>
      <c r="C17" s="69" t="s">
        <v>95</v>
      </c>
      <c r="D17" s="70" t="s">
        <v>96</v>
      </c>
      <c r="E17" s="69" t="s">
        <v>81</v>
      </c>
      <c r="F17" s="71" t="n">
        <v>46127</v>
      </c>
      <c r="G17" s="71" t="n">
        <v>46138</v>
      </c>
      <c r="H17" s="74" t="n">
        <v>0.3</v>
      </c>
      <c r="I17" s="66" t="s">
        <v>127</v>
      </c>
      <c r="J17" s="73"/>
    </row>
    <row r="18" customFormat="false" ht="16.5" hidden="false" customHeight="true" outlineLevel="0" collapsed="false">
      <c r="B18" s="43"/>
      <c r="C18" s="69" t="s">
        <v>95</v>
      </c>
      <c r="D18" s="70" t="s">
        <v>97</v>
      </c>
      <c r="E18" s="69" t="s">
        <v>81</v>
      </c>
      <c r="F18" s="71" t="n">
        <v>46130</v>
      </c>
      <c r="G18" s="71" t="n">
        <v>46137</v>
      </c>
      <c r="H18" s="74" t="n">
        <v>0.2</v>
      </c>
      <c r="I18" s="66" t="s">
        <v>127</v>
      </c>
      <c r="J18" s="73" t="s">
        <v>133</v>
      </c>
    </row>
    <row r="19" customFormat="false" ht="16.5" hidden="false" customHeight="true" outlineLevel="0" collapsed="false">
      <c r="B19" s="43"/>
      <c r="C19" s="69" t="s">
        <v>98</v>
      </c>
      <c r="D19" s="70" t="s">
        <v>99</v>
      </c>
      <c r="E19" s="69" t="s">
        <v>100</v>
      </c>
      <c r="F19" s="71" t="n">
        <v>46138</v>
      </c>
      <c r="G19" s="71" t="n">
        <v>46144</v>
      </c>
      <c r="H19" s="75" t="n">
        <v>0</v>
      </c>
      <c r="I19" s="68" t="s">
        <v>129</v>
      </c>
      <c r="J19" s="73" t="s">
        <v>134</v>
      </c>
    </row>
    <row r="20" customFormat="false" ht="16.5" hidden="false" customHeight="true" outlineLevel="0" collapsed="false">
      <c r="B20" s="43"/>
      <c r="C20" s="69" t="s">
        <v>85</v>
      </c>
      <c r="D20" s="70" t="s">
        <v>101</v>
      </c>
      <c r="E20" s="69" t="s">
        <v>100</v>
      </c>
      <c r="F20" s="71" t="n">
        <v>46143</v>
      </c>
      <c r="G20" s="71" t="n">
        <v>46150</v>
      </c>
      <c r="H20" s="75" t="n">
        <v>0</v>
      </c>
      <c r="I20" s="68" t="s">
        <v>129</v>
      </c>
      <c r="J20" s="73"/>
    </row>
    <row r="21" customFormat="false" ht="16.5" hidden="false" customHeight="true" outlineLevel="0" collapsed="false">
      <c r="B21" s="43"/>
      <c r="C21" s="69" t="s">
        <v>88</v>
      </c>
      <c r="D21" s="70" t="s">
        <v>102</v>
      </c>
      <c r="E21" s="69" t="s">
        <v>103</v>
      </c>
      <c r="F21" s="71" t="n">
        <v>46153</v>
      </c>
      <c r="G21" s="71" t="n">
        <v>46156</v>
      </c>
      <c r="H21" s="75" t="n">
        <v>0</v>
      </c>
      <c r="I21" s="68" t="s">
        <v>129</v>
      </c>
      <c r="J21" s="73"/>
    </row>
    <row r="22" customFormat="false" ht="19.5" hidden="false" customHeight="true" outlineLevel="0" collapsed="false">
      <c r="B22" s="48" t="s">
        <v>135</v>
      </c>
      <c r="C22" s="48"/>
      <c r="D22" s="48"/>
      <c r="E22" s="48"/>
      <c r="F22" s="48"/>
      <c r="G22" s="48"/>
      <c r="H22" s="48"/>
      <c r="I22" s="48"/>
      <c r="J22" s="48"/>
    </row>
    <row r="23" customFormat="false" ht="16.5" hidden="false" customHeight="true" outlineLevel="0" collapsed="false">
      <c r="B23" s="51"/>
      <c r="C23" s="76" t="s">
        <v>105</v>
      </c>
      <c r="D23" s="77" t="s">
        <v>106</v>
      </c>
      <c r="E23" s="76" t="s">
        <v>107</v>
      </c>
      <c r="F23" s="78" t="n">
        <v>46118</v>
      </c>
      <c r="G23" s="78" t="n">
        <v>46120</v>
      </c>
      <c r="H23" s="79" t="n">
        <v>1</v>
      </c>
      <c r="I23" s="63" t="s">
        <v>125</v>
      </c>
      <c r="J23" s="80"/>
    </row>
    <row r="24" customFormat="false" ht="16.5" hidden="false" customHeight="true" outlineLevel="0" collapsed="false">
      <c r="B24" s="51"/>
      <c r="C24" s="76" t="s">
        <v>105</v>
      </c>
      <c r="D24" s="77" t="s">
        <v>108</v>
      </c>
      <c r="E24" s="76" t="s">
        <v>107</v>
      </c>
      <c r="F24" s="78" t="n">
        <v>46120</v>
      </c>
      <c r="G24" s="78" t="n">
        <v>46123</v>
      </c>
      <c r="H24" s="79" t="n">
        <v>1</v>
      </c>
      <c r="I24" s="63" t="s">
        <v>125</v>
      </c>
      <c r="J24" s="80"/>
    </row>
    <row r="25" customFormat="false" ht="16.5" hidden="false" customHeight="true" outlineLevel="0" collapsed="false">
      <c r="B25" s="51"/>
      <c r="C25" s="76" t="s">
        <v>109</v>
      </c>
      <c r="D25" s="77" t="s">
        <v>110</v>
      </c>
      <c r="E25" s="76" t="s">
        <v>94</v>
      </c>
      <c r="F25" s="78" t="n">
        <v>46123</v>
      </c>
      <c r="G25" s="78" t="n">
        <v>46130</v>
      </c>
      <c r="H25" s="81" t="n">
        <v>0.4</v>
      </c>
      <c r="I25" s="66" t="s">
        <v>127</v>
      </c>
      <c r="J25" s="80"/>
    </row>
    <row r="26" customFormat="false" ht="16.5" hidden="false" customHeight="true" outlineLevel="0" collapsed="false">
      <c r="B26" s="51"/>
      <c r="C26" s="76" t="s">
        <v>109</v>
      </c>
      <c r="D26" s="77" t="s">
        <v>111</v>
      </c>
      <c r="E26" s="76" t="s">
        <v>81</v>
      </c>
      <c r="F26" s="78" t="n">
        <v>46128</v>
      </c>
      <c r="G26" s="78" t="n">
        <v>46133</v>
      </c>
      <c r="H26" s="82" t="n">
        <v>0</v>
      </c>
      <c r="I26" s="68" t="s">
        <v>129</v>
      </c>
      <c r="J26" s="80"/>
    </row>
    <row r="27" customFormat="false" ht="16.5" hidden="false" customHeight="true" outlineLevel="0" collapsed="false">
      <c r="B27" s="51"/>
      <c r="C27" s="76" t="s">
        <v>82</v>
      </c>
      <c r="D27" s="77" t="s">
        <v>112</v>
      </c>
      <c r="E27" s="76" t="s">
        <v>81</v>
      </c>
      <c r="F27" s="78" t="n">
        <v>46133</v>
      </c>
      <c r="G27" s="78" t="n">
        <v>46144</v>
      </c>
      <c r="H27" s="82" t="n">
        <v>0</v>
      </c>
      <c r="I27" s="68" t="s">
        <v>129</v>
      </c>
      <c r="J27" s="80" t="s">
        <v>136</v>
      </c>
    </row>
    <row r="28" customFormat="false" ht="16.5" hidden="false" customHeight="true" outlineLevel="0" collapsed="false">
      <c r="B28" s="51"/>
      <c r="C28" s="76" t="s">
        <v>82</v>
      </c>
      <c r="D28" s="77" t="s">
        <v>113</v>
      </c>
      <c r="E28" s="76" t="s">
        <v>103</v>
      </c>
      <c r="F28" s="78" t="n">
        <v>46140</v>
      </c>
      <c r="G28" s="78" t="n">
        <v>46146</v>
      </c>
      <c r="H28" s="82" t="n">
        <v>0</v>
      </c>
      <c r="I28" s="68" t="s">
        <v>129</v>
      </c>
      <c r="J28" s="80"/>
    </row>
    <row r="29" customFormat="false" ht="16.5" hidden="false" customHeight="true" outlineLevel="0" collapsed="false">
      <c r="B29" s="51"/>
      <c r="C29" s="76" t="s">
        <v>98</v>
      </c>
      <c r="D29" s="77" t="s">
        <v>114</v>
      </c>
      <c r="E29" s="76" t="s">
        <v>115</v>
      </c>
      <c r="F29" s="78" t="n">
        <v>46146</v>
      </c>
      <c r="G29" s="78" t="n">
        <v>46150</v>
      </c>
      <c r="H29" s="82" t="n">
        <v>0</v>
      </c>
      <c r="I29" s="68" t="s">
        <v>129</v>
      </c>
      <c r="J29" s="80"/>
    </row>
    <row r="30" customFormat="false" ht="16.5" hidden="false" customHeight="true" outlineLevel="0" collapsed="false">
      <c r="B30" s="51"/>
      <c r="C30" s="76" t="s">
        <v>88</v>
      </c>
      <c r="D30" s="77" t="s">
        <v>116</v>
      </c>
      <c r="E30" s="76" t="s">
        <v>74</v>
      </c>
      <c r="F30" s="78" t="n">
        <v>46153</v>
      </c>
      <c r="G30" s="78" t="n">
        <v>46155</v>
      </c>
      <c r="H30" s="82" t="n">
        <v>0</v>
      </c>
      <c r="I30" s="68" t="s">
        <v>129</v>
      </c>
      <c r="J30" s="80"/>
    </row>
    <row r="32" customFormat="false" ht="15" hidden="false" customHeight="false" outlineLevel="0" collapsed="false">
      <c r="B32" s="19" t="s">
        <v>137</v>
      </c>
      <c r="C32" s="19"/>
      <c r="D32" s="19"/>
    </row>
    <row r="33" customFormat="false" ht="15" hidden="false" customHeight="false" outlineLevel="0" collapsed="false">
      <c r="B33" s="83" t="s">
        <v>138</v>
      </c>
      <c r="D33" s="83" t="s">
        <v>125</v>
      </c>
      <c r="F33" s="83" t="s">
        <v>127</v>
      </c>
      <c r="H33" s="83" t="s">
        <v>139</v>
      </c>
      <c r="J33" s="83" t="s">
        <v>129</v>
      </c>
    </row>
    <row r="34" customFormat="false" ht="17.35" hidden="false" customHeight="false" outlineLevel="0" collapsed="false">
      <c r="B34" s="84" t="n">
        <f aca="false">COUNTA(D5:D31)</f>
        <v>23</v>
      </c>
      <c r="D34" s="84" t="n">
        <f aca="false">COUNTIF(I5:I31,"Complete")</f>
        <v>4</v>
      </c>
      <c r="F34" s="84" t="n">
        <f aca="false">COUNTIF(I5:I31,"In Progress")</f>
        <v>6</v>
      </c>
      <c r="H34" s="84" t="n">
        <f aca="false">COUNTIF(I5:I31,"Blocked")</f>
        <v>0</v>
      </c>
      <c r="J34" s="84" t="n">
        <f aca="false">COUNTIF(I5:I31,"Not Started")</f>
        <v>13</v>
      </c>
    </row>
  </sheetData>
  <mergeCells count="6">
    <mergeCell ref="B2:J2"/>
    <mergeCell ref="B3:J3"/>
    <mergeCell ref="B5:J5"/>
    <mergeCell ref="B14:J14"/>
    <mergeCell ref="B22:J22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A900"/>
    <pageSetUpPr fitToPage="false"/>
  </sheetPr>
  <dimension ref="B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6" hidden="false" customHeight="true" outlineLevel="0" collapsed="false">
      <c r="B1" s="57" t="s">
        <v>140</v>
      </c>
      <c r="C1" s="57"/>
    </row>
    <row r="2" customFormat="false" ht="19.5" hidden="false" customHeight="true" outlineLevel="0" collapsed="false"/>
    <row r="3" customFormat="false" ht="19.5" hidden="false" customHeight="true" outlineLevel="0" collapsed="false">
      <c r="B3" s="85" t="s">
        <v>141</v>
      </c>
      <c r="C3" s="85" t="s">
        <v>142</v>
      </c>
    </row>
    <row r="4" customFormat="false" ht="19.5" hidden="false" customHeight="true" outlineLevel="0" collapsed="false">
      <c r="B4" s="86" t="s">
        <v>143</v>
      </c>
      <c r="C4" s="87" t="s">
        <v>144</v>
      </c>
    </row>
    <row r="5" customFormat="false" ht="19.5" hidden="false" customHeight="true" outlineLevel="0" collapsed="false">
      <c r="B5" s="88" t="s">
        <v>145</v>
      </c>
      <c r="C5" s="89" t="s">
        <v>146</v>
      </c>
    </row>
    <row r="6" customFormat="false" ht="19.5" hidden="false" customHeight="true" outlineLevel="0" collapsed="false">
      <c r="B6" s="86" t="s">
        <v>147</v>
      </c>
      <c r="C6" s="87" t="s">
        <v>148</v>
      </c>
    </row>
    <row r="7" customFormat="false" ht="19.5" hidden="false" customHeight="true" outlineLevel="0" collapsed="false"/>
    <row r="8" customFormat="false" ht="19.5" hidden="false" customHeight="true" outlineLevel="0" collapsed="false">
      <c r="B8" s="85" t="s">
        <v>149</v>
      </c>
      <c r="C8" s="85"/>
    </row>
    <row r="9" customFormat="false" ht="19.5" hidden="false" customHeight="true" outlineLevel="0" collapsed="false">
      <c r="B9" s="88" t="s">
        <v>150</v>
      </c>
      <c r="C9" s="89" t="s">
        <v>151</v>
      </c>
    </row>
    <row r="10" customFormat="false" ht="19.5" hidden="false" customHeight="true" outlineLevel="0" collapsed="false">
      <c r="B10" s="86" t="s">
        <v>152</v>
      </c>
      <c r="C10" s="87" t="s">
        <v>153</v>
      </c>
    </row>
    <row r="11" customFormat="false" ht="19.5" hidden="false" customHeight="true" outlineLevel="0" collapsed="false">
      <c r="B11" s="88" t="s">
        <v>154</v>
      </c>
      <c r="C11" s="89" t="s">
        <v>155</v>
      </c>
    </row>
    <row r="12" customFormat="false" ht="19.5" hidden="false" customHeight="true" outlineLevel="0" collapsed="false">
      <c r="B12" s="86" t="s">
        <v>156</v>
      </c>
      <c r="C12" s="87" t="s">
        <v>157</v>
      </c>
    </row>
    <row r="13" customFormat="false" ht="19.5" hidden="false" customHeight="true" outlineLevel="0" collapsed="false">
      <c r="B13" s="88" t="s">
        <v>158</v>
      </c>
      <c r="C13" s="89" t="s">
        <v>159</v>
      </c>
    </row>
    <row r="14" customFormat="false" ht="19.5" hidden="false" customHeight="true" outlineLevel="0" collapsed="false"/>
    <row r="15" customFormat="false" ht="19.5" hidden="false" customHeight="true" outlineLevel="0" collapsed="false">
      <c r="B15" s="85" t="s">
        <v>160</v>
      </c>
      <c r="C15" s="85"/>
    </row>
    <row r="16" customFormat="false" ht="19.5" hidden="false" customHeight="true" outlineLevel="0" collapsed="false">
      <c r="B16" s="86" t="s">
        <v>161</v>
      </c>
      <c r="C16" s="87" t="s">
        <v>162</v>
      </c>
    </row>
    <row r="17" customFormat="false" ht="19.5" hidden="false" customHeight="true" outlineLevel="0" collapsed="false">
      <c r="B17" s="88" t="s">
        <v>163</v>
      </c>
      <c r="C17" s="89" t="s">
        <v>164</v>
      </c>
    </row>
    <row r="18" customFormat="false" ht="19.5" hidden="false" customHeight="true" outlineLevel="0" collapsed="false">
      <c r="B18" s="86" t="s">
        <v>165</v>
      </c>
      <c r="C18" s="87" t="s">
        <v>166</v>
      </c>
    </row>
    <row r="19" customFormat="false" ht="19.5" hidden="false" customHeight="true" outlineLevel="0" collapsed="false">
      <c r="B19" s="88" t="s">
        <v>167</v>
      </c>
      <c r="C19" s="89" t="s">
        <v>168</v>
      </c>
    </row>
    <row r="20" customFormat="false" ht="19.5" hidden="false" customHeight="true" outlineLevel="0" collapsed="false">
      <c r="B20" s="86" t="s">
        <v>169</v>
      </c>
      <c r="C20" s="87" t="s">
        <v>170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2026-04-09T13:04:52Z</dcterms:created>
  <dc:creator>openpyxl</dc:creator>
  <dc:description/>
  <dc:language>en-US</dc:language>
  <cp:lastModifiedBy/>
  <dcterms:modified xsi:type="dcterms:W3CDTF">2026-04-09T13:04:52Z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